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Ashesh Soneji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1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  <xf numFmtId="1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6" workbookViewId="0">
      <selection activeCell="A21" sqref="A21:G21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6" t="inlineStr">
        <is>
          <t>Jobuss Resources Pvt Ltd.</t>
        </is>
      </c>
      <c r="B2" s="13" t="n"/>
      <c r="C2" s="13" t="n"/>
      <c r="D2" s="13" t="n"/>
      <c r="E2" s="13" t="n"/>
      <c r="F2" s="39" t="n"/>
      <c r="G2" s="13" t="n"/>
      <c r="H2" s="14" t="n"/>
    </row>
    <row r="3" ht="17.4" customHeight="1" thickBot="1">
      <c r="A3" s="83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4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9" t="n"/>
      <c r="H7" s="5" t="n"/>
    </row>
    <row r="8">
      <c r="A8" s="89" t="inlineStr">
        <is>
          <t>Reliance Corporate Park,1 st Floor,</t>
        </is>
      </c>
      <c r="E8" s="90" t="n"/>
      <c r="F8" s="91" t="inlineStr">
        <is>
          <t>PAN: AAECJ2353C</t>
        </is>
      </c>
      <c r="H8" s="23" t="n"/>
    </row>
    <row r="9">
      <c r="A9" s="89" t="inlineStr">
        <is>
          <t xml:space="preserve">5 TTC Industrial Area, Thane Belapur Road, </t>
        </is>
      </c>
      <c r="E9" s="90" t="n"/>
      <c r="F9" s="91" t="inlineStr">
        <is>
          <t>GST No:  27AAECJ2353C1ZX</t>
        </is>
      </c>
      <c r="H9" s="23" t="n"/>
      <c r="I9" s="6" t="n"/>
    </row>
    <row r="10">
      <c r="A10" s="89" t="inlineStr">
        <is>
          <t>Ghansoli, Navi mumbai 400701</t>
        </is>
      </c>
      <c r="E10" s="90" t="n"/>
      <c r="F10" s="91" t="inlineStr">
        <is>
          <t>PF No.- KDMAL1720777000</t>
        </is>
      </c>
      <c r="H10" s="23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3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8" t="n"/>
      <c r="D12" s="8" t="n"/>
      <c r="E12" s="9" t="n"/>
      <c r="F12" s="55" t="inlineStr">
        <is>
          <t xml:space="preserve">Bill Date : </t>
        </is>
      </c>
      <c r="G12" s="56" t="inlineStr">
        <is>
          <t>28-02-2026</t>
        </is>
      </c>
      <c r="H12" s="57" t="n"/>
    </row>
    <row r="13">
      <c r="A13" s="7" t="inlineStr">
        <is>
          <t xml:space="preserve">Kind Attn: </t>
        </is>
      </c>
      <c r="B13" s="8" t="inlineStr">
        <is>
          <t>Ms. Sneha Randeo</t>
        </is>
      </c>
      <c r="C13" s="8" t="n"/>
      <c r="D13" s="8" t="n"/>
      <c r="E13" s="9" t="n"/>
      <c r="F13" s="55" t="inlineStr">
        <is>
          <t xml:space="preserve">Due Date: </t>
        </is>
      </c>
      <c r="G13" s="56" t="inlineStr">
        <is>
          <t>03-03-2026</t>
        </is>
      </c>
      <c r="H13" s="57" t="n"/>
    </row>
    <row r="14">
      <c r="A14" s="89" t="n"/>
      <c r="E14" s="90" t="n"/>
      <c r="F14" s="92" t="inlineStr">
        <is>
          <t>SAC Code:  998513 (Contract Staffing)</t>
        </is>
      </c>
      <c r="H14" s="23" t="n"/>
    </row>
    <row r="15" ht="15" customHeight="1" thickBot="1">
      <c r="A15" s="89" t="n"/>
      <c r="E15" s="90" t="n"/>
      <c r="F15" s="92" t="inlineStr">
        <is>
          <t>Place of Service: Navi Mumbai</t>
        </is>
      </c>
      <c r="H15" s="23" t="n"/>
      <c r="I15" s="10" t="n"/>
      <c r="K15" s="93" t="n"/>
    </row>
    <row r="16" ht="15" customHeight="1" thickBot="1">
      <c r="A16" s="12" t="n"/>
      <c r="B16" s="13" t="n"/>
      <c r="C16" s="13" t="n"/>
      <c r="D16" s="13" t="n"/>
      <c r="E16" s="14" t="n"/>
      <c r="F16" s="75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4" t="inlineStr">
        <is>
          <t>Contarct staffing services for Assistance in Various Department Period: 01 Feb 2026 to 28 Feb 2026</t>
        </is>
      </c>
      <c r="B17" s="95" t="n"/>
      <c r="C17" s="95" t="n"/>
      <c r="D17" s="95" t="n"/>
      <c r="E17" s="95" t="n"/>
      <c r="F17" s="95" t="n"/>
      <c r="G17" s="96" t="n"/>
      <c r="H17" s="97" t="n">
        <v>87429</v>
      </c>
    </row>
    <row r="18" ht="15" customHeight="1">
      <c r="A18" s="18" t="n"/>
      <c r="G18" s="23" t="n"/>
      <c r="H18" s="98" t="n"/>
    </row>
    <row r="19" ht="15" customHeight="1">
      <c r="A19" s="18" t="n"/>
      <c r="G19" s="23" t="n"/>
      <c r="H19" s="98" t="n"/>
    </row>
    <row r="20" ht="15.75" customHeight="1" thickBot="1">
      <c r="A20" s="24" t="n"/>
      <c r="B20" s="27" t="n"/>
      <c r="C20" s="27" t="n"/>
      <c r="D20" s="27" t="n"/>
      <c r="E20" s="27" t="n"/>
      <c r="F20" s="27" t="n"/>
      <c r="G20" s="28" t="n"/>
      <c r="H20" s="99" t="n"/>
    </row>
    <row r="21" ht="18" customHeight="1" thickBot="1">
      <c r="A21" s="73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97" t="n">
        <v>7869</v>
      </c>
    </row>
    <row r="22" ht="15.75" customHeight="1" thickBot="1">
      <c r="A22" s="73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97" t="n">
        <v>7869</v>
      </c>
    </row>
    <row r="23" ht="15" customHeight="1">
      <c r="A23" s="18" t="n"/>
      <c r="H23" s="97" t="n">
        <v>103167</v>
      </c>
    </row>
    <row r="24" ht="16.5" customHeight="1">
      <c r="A24" s="19" t="inlineStr">
        <is>
          <t>Rupees:</t>
        </is>
      </c>
      <c r="B24" s="20" t="inlineStr">
        <is>
          <t>One Lakh, Three Thousand, One Hundred And Sixty-Seven Only</t>
        </is>
      </c>
      <c r="H24" s="98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99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0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78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78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1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78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2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20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20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3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4" t="inlineStr">
        <is>
          <t>Kind Attention Person</t>
        </is>
      </c>
      <c r="B1" s="104" t="inlineStr">
        <is>
          <t>Employee Code</t>
        </is>
      </c>
      <c r="C1" s="104" t="inlineStr">
        <is>
          <t>Employee Name</t>
        </is>
      </c>
      <c r="D1" s="104" t="inlineStr">
        <is>
          <t>Billing</t>
        </is>
      </c>
      <c r="E1" s="104" t="inlineStr">
        <is>
          <t>No of days</t>
        </is>
      </c>
      <c r="F1" s="104" t="inlineStr">
        <is>
          <t>Eligible Days</t>
        </is>
      </c>
      <c r="G1" s="104" t="inlineStr">
        <is>
          <t>No of Saturdays</t>
        </is>
      </c>
      <c r="H1" s="104" t="inlineStr">
        <is>
          <t>No of Sundays</t>
        </is>
      </c>
      <c r="I1" s="104" t="inlineStr">
        <is>
          <t>No of Holidays</t>
        </is>
      </c>
      <c r="J1" s="104" t="inlineStr">
        <is>
          <t>Total Present</t>
        </is>
      </c>
      <c r="K1" s="104" t="inlineStr">
        <is>
          <t>Total Working Days</t>
        </is>
      </c>
      <c r="L1" s="104" t="inlineStr">
        <is>
          <t>Absents this Month</t>
        </is>
      </c>
      <c r="M1" s="104" t="inlineStr">
        <is>
          <t>Adjustment of Days</t>
        </is>
      </c>
      <c r="N1" s="104" t="inlineStr">
        <is>
          <t>Total Payable Days</t>
        </is>
      </c>
      <c r="O1" s="104" t="inlineStr">
        <is>
          <t>Total Payable Billing</t>
        </is>
      </c>
      <c r="P1" s="104" t="inlineStr">
        <is>
          <t>Charges</t>
        </is>
      </c>
      <c r="Q1" s="104" t="inlineStr">
        <is>
          <t>Out of Pocket Exp</t>
        </is>
      </c>
      <c r="R1" s="104" t="inlineStr">
        <is>
          <t>Arrears</t>
        </is>
      </c>
      <c r="S1" s="104" t="inlineStr">
        <is>
          <t>Total</t>
        </is>
      </c>
      <c r="T1" s="104" t="inlineStr">
        <is>
          <t>CGST @9%</t>
        </is>
      </c>
      <c r="U1" s="104" t="inlineStr">
        <is>
          <t>SGST @9%</t>
        </is>
      </c>
      <c r="V1" s="104" t="inlineStr">
        <is>
          <t>Grand Total</t>
        </is>
      </c>
      <c r="W1" s="104" t="inlineStr">
        <is>
          <t>Remark</t>
        </is>
      </c>
    </row>
    <row r="2">
      <c r="A2" s="105" t="inlineStr">
        <is>
          <t>Sneha Randeo</t>
        </is>
      </c>
      <c r="B2" s="105" t="inlineStr">
        <is>
          <t>JB-10171</t>
        </is>
      </c>
      <c r="C2" s="105" t="inlineStr">
        <is>
          <t>PRATHAMESH DNYANESHWAR PEDNEKAR</t>
        </is>
      </c>
      <c r="D2" s="106" t="n">
        <v>44800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2</v>
      </c>
      <c r="J2" s="106" t="n">
        <v>16</v>
      </c>
      <c r="K2" s="106" t="n">
        <v>26</v>
      </c>
      <c r="L2" s="106" t="n">
        <v>4</v>
      </c>
      <c r="M2" s="106" t="n">
        <v>4</v>
      </c>
      <c r="N2" s="106" t="n">
        <v>30</v>
      </c>
      <c r="O2" s="106" t="n">
        <v>48000</v>
      </c>
      <c r="P2" s="106" t="n">
        <v>0</v>
      </c>
      <c r="Q2" s="106" t="n">
        <v>0</v>
      </c>
      <c r="R2" s="106" t="n">
        <v>0</v>
      </c>
      <c r="S2" s="106" t="n">
        <v>48000</v>
      </c>
      <c r="T2" s="106" t="n">
        <v>4320</v>
      </c>
      <c r="U2" s="106" t="n">
        <v>4320</v>
      </c>
      <c r="V2" s="106" t="n">
        <v>56640</v>
      </c>
      <c r="W2" s="105" t="n">
        <v/>
      </c>
    </row>
    <row r="3">
      <c r="A3" s="105" t="inlineStr">
        <is>
          <t>Sneha Randeo</t>
        </is>
      </c>
      <c r="B3" s="105" t="inlineStr">
        <is>
          <t>JB-10172</t>
        </is>
      </c>
      <c r="C3" s="105" t="inlineStr">
        <is>
          <t>PRIYANKA VITTHAL NAVGHANE</t>
        </is>
      </c>
      <c r="D3" s="106" t="n">
        <v>36800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2</v>
      </c>
      <c r="J3" s="106" t="n">
        <v>18</v>
      </c>
      <c r="K3" s="106" t="n">
        <v>28</v>
      </c>
      <c r="L3" s="106" t="n">
        <v>2</v>
      </c>
      <c r="M3" s="106" t="n">
        <v>2</v>
      </c>
      <c r="N3" s="106" t="n">
        <v>30</v>
      </c>
      <c r="O3" s="106" t="n">
        <v>39428.57</v>
      </c>
      <c r="P3" s="106" t="n">
        <v>0</v>
      </c>
      <c r="Q3" s="106" t="n">
        <v>0</v>
      </c>
      <c r="R3" s="106" t="n">
        <v>0</v>
      </c>
      <c r="S3" s="106" t="n">
        <v>39428.57</v>
      </c>
      <c r="T3" s="106" t="n">
        <v>3548.57</v>
      </c>
      <c r="U3" s="106" t="n">
        <v>3548.57</v>
      </c>
      <c r="V3" s="106" t="n">
        <v>46525.71</v>
      </c>
      <c r="W3" s="105" t="n">
        <v/>
      </c>
    </row>
    <row r="4">
      <c r="A4" s="107" t="inlineStr">
        <is>
          <t>TOTAL</t>
        </is>
      </c>
      <c r="B4" s="107" t="n"/>
      <c r="C4" s="107" t="n"/>
      <c r="D4" s="108">
        <f>ROUND(SUM(D2:D3), 0)</f>
        <v/>
      </c>
      <c r="E4" s="108">
        <f>ROUND(SUM(E2:E3), 0)</f>
        <v/>
      </c>
      <c r="F4" s="108">
        <f>ROUND(SUM(F2:F3), 0)</f>
        <v/>
      </c>
      <c r="G4" s="108">
        <f>ROUND(SUM(G2:G3), 0)</f>
        <v/>
      </c>
      <c r="H4" s="108">
        <f>ROUND(SUM(H2:H3), 0)</f>
        <v/>
      </c>
      <c r="I4" s="108">
        <f>ROUND(SUM(I2:I3), 0)</f>
        <v/>
      </c>
      <c r="J4" s="108">
        <f>ROUND(SUM(J2:J3), 0)</f>
        <v/>
      </c>
      <c r="K4" s="108">
        <f>ROUND(SUM(K2:K3), 0)</f>
        <v/>
      </c>
      <c r="L4" s="108">
        <f>ROUND(SUM(L2:L3), 0)</f>
        <v/>
      </c>
      <c r="M4" s="108">
        <f>ROUND(SUM(M2:M3), 0)</f>
        <v/>
      </c>
      <c r="N4" s="108">
        <f>ROUND(SUM(N2:N3), 0)</f>
        <v/>
      </c>
      <c r="O4" s="108">
        <f>ROUND(SUM(O2:O3), 0)</f>
        <v/>
      </c>
      <c r="P4" s="108">
        <f>ROUND(SUM(P2:P3), 0)</f>
        <v/>
      </c>
      <c r="Q4" s="108">
        <f>ROUND(SUM(Q2:Q3), 0)</f>
        <v/>
      </c>
      <c r="R4" s="108">
        <f>ROUND(SUM(R2:R3), 0)</f>
        <v/>
      </c>
      <c r="S4" s="108">
        <f>ROUND(SUM(S2:S3), 0)</f>
        <v/>
      </c>
      <c r="T4" s="108">
        <f>CEILING(SUM(T2:T3), 1)</f>
        <v/>
      </c>
      <c r="U4" s="108">
        <f>CEILING(SUM(U2:U3), 1)</f>
        <v/>
      </c>
      <c r="V4" s="108">
        <f>ROUND(SUM(S4,T4,U4), 0)</f>
        <v/>
      </c>
      <c r="W4" s="10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2026-02-28T13:17:58Z</dcterms:modified>
  <cp:lastModifiedBy>Kanishk Maheshwari</cp:lastModifiedBy>
  <cp:lastPrinted>2025-12-30T12:46:50Z</cp:lastPrinted>
</cp:coreProperties>
</file>