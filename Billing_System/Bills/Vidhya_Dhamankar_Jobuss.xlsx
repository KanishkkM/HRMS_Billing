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Vidhya Dhamankar Sal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[$-14009]dd\-mm\-yyyy;@"/>
    <numFmt numFmtId="166" formatCode="_ * #,##0_ ;_ * \-#,##0_ ;_ * &quot;-&quot;??_ ;_ @_ 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color rgb="FF222222"/>
      <sz val="10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0" pivotButton="0" quotePrefix="0" xfId="0"/>
    <xf numFmtId="0" fontId="10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2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3" fillId="0" borderId="20" applyAlignment="1" pivotButton="0" quotePrefix="0" xfId="2">
      <alignment horizontal="center" vertical="center"/>
    </xf>
    <xf numFmtId="164" fontId="13" fillId="0" borderId="21" applyAlignment="1" pivotButton="0" quotePrefix="0" xfId="2">
      <alignment horizontal="center" vertical="center"/>
    </xf>
    <xf numFmtId="0" fontId="0" fillId="0" borderId="4" pivotButton="0" quotePrefix="0" xfId="0"/>
    <xf numFmtId="0" fontId="13" fillId="0" borderId="4" applyAlignment="1" pivotButton="0" quotePrefix="0" xfId="0">
      <alignment horizontal="left" wrapText="1"/>
    </xf>
    <xf numFmtId="0" fontId="13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16" pivotButton="0" quotePrefix="0" xfId="0"/>
    <xf numFmtId="0" fontId="14" fillId="0" borderId="4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 wrapText="1"/>
    </xf>
    <xf numFmtId="164" fontId="12" fillId="0" borderId="14" applyAlignment="1" pivotButton="0" quotePrefix="0" xfId="2">
      <alignment horizontal="center" vertical="center"/>
    </xf>
    <xf numFmtId="164" fontId="12" fillId="0" borderId="15" applyAlignment="1" pivotButton="0" quotePrefix="0" xfId="2">
      <alignment horizontal="center" vertical="center"/>
    </xf>
    <xf numFmtId="164" fontId="12" fillId="0" borderId="19" applyAlignment="1" pivotButton="0" quotePrefix="0" xfId="2">
      <alignment horizontal="center" vertical="center"/>
    </xf>
    <xf numFmtId="0" fontId="13" fillId="0" borderId="20" applyAlignment="1" pivotButton="0" quotePrefix="0" xfId="0">
      <alignment horizontal="left"/>
    </xf>
    <xf numFmtId="0" fontId="13" fillId="0" borderId="21" applyAlignment="1" pivotButton="0" quotePrefix="0" xfId="0">
      <alignment horizontal="left"/>
    </xf>
    <xf numFmtId="166" fontId="13" fillId="0" borderId="14" applyAlignment="1" pivotButton="0" quotePrefix="0" xfId="1">
      <alignment horizontal="center" vertical="center"/>
    </xf>
    <xf numFmtId="166" fontId="13" fillId="0" borderId="15" applyAlignment="1" pivotButton="0" quotePrefix="0" xfId="1">
      <alignment horizontal="center" vertical="center"/>
    </xf>
    <xf numFmtId="166" fontId="13" fillId="0" borderId="24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6" applyAlignment="1" pivotButton="0" quotePrefix="0" xfId="0">
      <alignment horizontal="right"/>
    </xf>
    <xf numFmtId="0" fontId="6" fillId="0" borderId="26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15" applyAlignment="1" pivotButton="0" quotePrefix="0" xfId="0">
      <alignment horizontal="left"/>
    </xf>
    <xf numFmtId="0" fontId="8" fillId="0" borderId="28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/>
    </xf>
    <xf numFmtId="0" fontId="0" fillId="0" borderId="10" pivotButton="0" quotePrefix="0" xfId="0"/>
    <xf numFmtId="0" fontId="8" fillId="0" borderId="28" applyAlignment="1" pivotButton="0" quotePrefix="0" xfId="0">
      <alignment horizontal="left"/>
    </xf>
    <xf numFmtId="164" fontId="1" fillId="0" borderId="0" pivotButton="0" quotePrefix="0" xfId="2"/>
    <xf numFmtId="0" fontId="11" fillId="0" borderId="2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2" fillId="0" borderId="26" applyAlignment="1" pivotButton="0" quotePrefix="0" xfId="2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30" pivotButton="0" quotePrefix="0" xfId="0"/>
    <xf numFmtId="164" fontId="13" fillId="0" borderId="20" applyAlignment="1" pivotButton="0" quotePrefix="0" xfId="2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64" fontId="13" fillId="0" borderId="21" applyAlignment="1" pivotButton="0" quotePrefix="0" xfId="2">
      <alignment horizontal="center" vertical="center"/>
    </xf>
    <xf numFmtId="166" fontId="13" fillId="0" borderId="35" applyAlignment="1" pivotButton="0" quotePrefix="0" xfId="1">
      <alignment horizontal="center" vertical="center"/>
    </xf>
    <xf numFmtId="0" fontId="0" fillId="0" borderId="24" pivotButton="0" quotePrefix="0" xfId="0"/>
    <xf numFmtId="0" fontId="2" fillId="0" borderId="26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4" fillId="0" borderId="15" applyAlignment="1" pivotButton="0" quotePrefix="0" xfId="0">
      <alignment horizontal="left" vertical="top" wrapText="1"/>
    </xf>
    <xf numFmtId="0" fontId="17" fillId="3" borderId="36" applyAlignment="1" pivotButton="0" quotePrefix="0" xfId="0">
      <alignment horizontal="center" vertical="center" wrapText="1"/>
    </xf>
    <xf numFmtId="0" fontId="0" fillId="0" borderId="36" pivotButton="0" quotePrefix="0" xfId="0"/>
    <xf numFmtId="0" fontId="17" fillId="4" borderId="3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546100</colOff>
      <row>44</row>
      <rowOff>130175</rowOff>
    </from>
    <ext cx="1360805" cy="1311275"/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765550" y="9664700"/>
          <a:ext cx="1360805" cy="1311275"/>
        </a:xfrm>
        <a:prstGeom prst="rect">
          <avLst/>
        </a:prstGeom>
        <a:noFill/>
        <a:ln>
          <a:noFill/>
          <a:prstDash val="solid"/>
        </a:ln>
      </spPr>
    </pic>
    <clientData/>
  </oneCellAnchor>
  <oneCellAnchor>
    <from>
      <col>6</col>
      <colOff>514350</colOff>
      <row>46</row>
      <rowOff>9525</rowOff>
    </from>
    <ext cx="1390650" cy="920750"/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810250" y="9934575"/>
          <a:ext cx="1390650" cy="92075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workbookViewId="0">
      <selection activeCell="F15" sqref="F15:H15"/>
    </sheetView>
  </sheetViews>
  <sheetFormatPr baseColWidth="8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3.33203125" customWidth="1" min="6" max="6"/>
    <col width="23.33203125" customWidth="1" min="7" max="7"/>
    <col width="19.6640625" customWidth="1" min="8" max="8"/>
  </cols>
  <sheetData>
    <row r="1" ht="15" customHeight="1" thickBot="1"/>
    <row r="2" ht="89.25" customHeight="1" thickBot="1">
      <c r="A2" s="83" t="inlineStr">
        <is>
          <t>Jobuss Resources Pvt Ltd.</t>
        </is>
      </c>
      <c r="B2" s="17" t="n"/>
      <c r="C2" s="17" t="n"/>
      <c r="D2" s="17" t="n"/>
      <c r="E2" s="17" t="n"/>
      <c r="F2" s="86" t="n"/>
      <c r="G2" s="17" t="n"/>
      <c r="H2" s="18" t="n"/>
    </row>
    <row r="3" ht="17.4" customHeight="1" thickBot="1">
      <c r="A3" s="96" t="inlineStr">
        <is>
          <t>Private Limited</t>
        </is>
      </c>
      <c r="B3" s="17" t="n"/>
      <c r="C3" s="17" t="n"/>
      <c r="D3" s="17" t="n"/>
      <c r="E3" s="17" t="n"/>
      <c r="F3" s="17" t="n"/>
      <c r="G3" s="17" t="n"/>
      <c r="H3" s="18" t="n"/>
    </row>
    <row r="4" ht="15" customHeight="1" thickBot="1">
      <c r="A4" s="97" t="inlineStr">
        <is>
          <t>Add:-1106, Sureshwari Techno IT Park, Eskay Resort, Borivali West Mumbai- 400092</t>
        </is>
      </c>
      <c r="B4" s="17" t="n"/>
      <c r="C4" s="17" t="n"/>
      <c r="D4" s="17" t="n"/>
      <c r="E4" s="17" t="n"/>
      <c r="F4" s="17" t="n"/>
      <c r="G4" s="17" t="n"/>
      <c r="H4" s="1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8" t="inlineStr">
        <is>
          <t>Original For Recepient (Tax Invoice)</t>
        </is>
      </c>
      <c r="B6" s="17" t="n"/>
      <c r="C6" s="17" t="n"/>
      <c r="D6" s="17" t="n"/>
      <c r="E6" s="17" t="n"/>
      <c r="F6" s="17" t="n"/>
      <c r="G6" s="17" t="n"/>
      <c r="H6" s="18" t="n"/>
    </row>
    <row r="7" ht="15" customHeight="1" thickTop="1">
      <c r="A7" s="99" t="inlineStr">
        <is>
          <t>Reliance Industries Limited</t>
        </is>
      </c>
      <c r="B7" s="100" t="n"/>
      <c r="C7" s="100" t="n"/>
      <c r="D7" s="100" t="n"/>
      <c r="E7" s="101" t="n"/>
      <c r="F7" s="4" t="inlineStr">
        <is>
          <t>Bill No. :</t>
        </is>
      </c>
      <c r="G7" s="34" t="n"/>
      <c r="H7" s="5" t="n"/>
    </row>
    <row r="8">
      <c r="A8" s="102" t="inlineStr">
        <is>
          <t>5, TTC Industrial Area,</t>
        </is>
      </c>
      <c r="E8" s="28" t="n"/>
      <c r="F8" s="103" t="inlineStr">
        <is>
          <t>PAN: AAECJ2353C</t>
        </is>
      </c>
      <c r="H8" s="28" t="n"/>
    </row>
    <row r="9">
      <c r="A9" s="102" t="inlineStr">
        <is>
          <t>Reliance Corporate Park,</t>
        </is>
      </c>
      <c r="E9" s="28" t="n"/>
      <c r="F9" s="103" t="inlineStr">
        <is>
          <t>GST No:  27AAECJ2353C1ZX</t>
        </is>
      </c>
      <c r="H9" s="28" t="n"/>
      <c r="I9" s="6" t="n"/>
    </row>
    <row r="10">
      <c r="A10" s="102" t="inlineStr">
        <is>
          <t>Thane-Belapur Road, Ghansoli, Navi Mumbai 400701</t>
        </is>
      </c>
      <c r="E10" s="28" t="n"/>
      <c r="F10" s="103" t="inlineStr">
        <is>
          <t>PF No.- KDMAL1720777000</t>
        </is>
      </c>
      <c r="H10" s="28" t="n"/>
      <c r="I10" s="6" t="n"/>
    </row>
    <row r="11">
      <c r="A11" s="102" t="inlineStr">
        <is>
          <t>GST NO: 27AAACR5055K1Z7</t>
        </is>
      </c>
      <c r="E11" s="28" t="n"/>
      <c r="F11" s="103" t="inlineStr">
        <is>
          <t>ESIC No.- 35000427980001001</t>
        </is>
      </c>
      <c r="H11" s="28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9" t="n"/>
      <c r="D12" s="9" t="n"/>
      <c r="E12" s="10" t="n"/>
      <c r="F12" s="35" t="inlineStr">
        <is>
          <t xml:space="preserve">Bill Date : </t>
        </is>
      </c>
      <c r="G12" s="36" t="inlineStr">
        <is>
          <t>28-02-2026</t>
        </is>
      </c>
      <c r="H12" s="37" t="n"/>
    </row>
    <row r="13">
      <c r="A13" s="7" t="inlineStr">
        <is>
          <t xml:space="preserve">Kind Attn: </t>
        </is>
      </c>
      <c r="B13" s="11" t="inlineStr">
        <is>
          <t>Ms.Vidhya Dhamankar</t>
        </is>
      </c>
      <c r="C13" s="12" t="n"/>
      <c r="D13" s="9" t="n"/>
      <c r="E13" s="13" t="n"/>
      <c r="F13" s="77" t="inlineStr">
        <is>
          <t xml:space="preserve">Due Date: </t>
        </is>
      </c>
      <c r="G13" s="78" t="inlineStr">
        <is>
          <t>03-03-2026</t>
        </is>
      </c>
      <c r="H13" s="79" t="n"/>
    </row>
    <row r="14">
      <c r="A14" s="104" t="inlineStr">
        <is>
          <t>WO No.- 540092125</t>
        </is>
      </c>
      <c r="E14" s="105" t="n"/>
      <c r="F14" s="106" t="inlineStr">
        <is>
          <t>SAC Code:  998513 (Contract Staffing Services)</t>
        </is>
      </c>
      <c r="H14" s="28" t="n"/>
    </row>
    <row r="15" ht="15" customHeight="1" thickBot="1">
      <c r="A15" s="104" t="n"/>
      <c r="E15" s="105" t="n"/>
      <c r="F15" s="106" t="inlineStr">
        <is>
          <t>Place of Service: Navi Mumbai</t>
        </is>
      </c>
      <c r="H15" s="28" t="n"/>
      <c r="I15" s="14" t="n"/>
      <c r="K15" s="107" t="n"/>
    </row>
    <row r="16" ht="15" customHeight="1" thickBot="1">
      <c r="A16" s="16" t="n"/>
      <c r="B16" s="17" t="n"/>
      <c r="C16" s="17" t="n"/>
      <c r="D16" s="17" t="n"/>
      <c r="E16" s="18" t="n"/>
      <c r="F16" s="62" t="inlineStr">
        <is>
          <t xml:space="preserve">Vendor Code: </t>
        </is>
      </c>
      <c r="G16" s="20" t="n">
        <v>3347687</v>
      </c>
      <c r="H16" s="18" t="n"/>
    </row>
    <row r="17" ht="16.5" customHeight="1">
      <c r="A17" s="108" t="inlineStr">
        <is>
          <t>Contract staffing services for Assistance in Various Department Period: 01 Feb 2026 to 28 Feb 2026</t>
        </is>
      </c>
      <c r="B17" s="109" t="n"/>
      <c r="C17" s="109" t="n"/>
      <c r="D17" s="109" t="n"/>
      <c r="E17" s="109" t="n"/>
      <c r="F17" s="109" t="n"/>
      <c r="G17" s="110" t="n"/>
      <c r="H17" s="111" t="n">
        <v>380147</v>
      </c>
    </row>
    <row r="18">
      <c r="A18" s="23" t="n"/>
      <c r="G18" s="28" t="n"/>
      <c r="H18" s="112" t="n"/>
    </row>
    <row r="19">
      <c r="A19" s="23" t="n"/>
      <c r="G19" s="28" t="n"/>
      <c r="H19" s="112" t="n"/>
    </row>
    <row r="20" ht="15" customHeight="1" thickBot="1">
      <c r="A20" s="29" t="n"/>
      <c r="B20" s="32" t="n"/>
      <c r="C20" s="32" t="n"/>
      <c r="D20" s="32" t="n"/>
      <c r="E20" s="32" t="n"/>
      <c r="F20" s="32" t="n"/>
      <c r="G20" s="33" t="n"/>
      <c r="H20" s="113" t="n"/>
    </row>
    <row r="21" ht="15.75" customHeight="1">
      <c r="A21" s="56" t="inlineStr">
        <is>
          <t>Add : CGST @ 9%</t>
        </is>
      </c>
      <c r="B21" s="114" t="n"/>
      <c r="C21" s="114" t="n"/>
      <c r="D21" s="114" t="n"/>
      <c r="E21" s="114" t="n"/>
      <c r="F21" s="114" t="n"/>
      <c r="G21" s="115" t="n"/>
      <c r="H21" s="116" t="n">
        <v>34211</v>
      </c>
    </row>
    <row r="22" ht="16.5" customHeight="1" thickBot="1">
      <c r="A22" s="57" t="inlineStr">
        <is>
          <t>Add : SGST @ 9%</t>
        </is>
      </c>
      <c r="B22" s="117" t="n"/>
      <c r="C22" s="117" t="n"/>
      <c r="D22" s="117" t="n"/>
      <c r="E22" s="117" t="n"/>
      <c r="F22" s="117" t="n"/>
      <c r="G22" s="118" t="n"/>
      <c r="H22" s="119" t="n">
        <v>34211</v>
      </c>
    </row>
    <row r="23" ht="15" customHeight="1">
      <c r="A23" s="23" t="n"/>
      <c r="H23" s="120" t="n">
        <v>448569</v>
      </c>
    </row>
    <row r="24" ht="16.5" customHeight="1">
      <c r="A24" s="24" t="inlineStr">
        <is>
          <t>Rupees:</t>
        </is>
      </c>
      <c r="B24" s="25" t="inlineStr">
        <is>
          <t>Four Lakh, Forty-Eight Thousand, Five Hundred And Sixty-Nine Only</t>
        </is>
      </c>
      <c r="H24" s="112" t="n"/>
    </row>
    <row r="25" ht="15.75" customHeight="1" thickBot="1">
      <c r="A25" s="26" t="n"/>
      <c r="B25" s="27" t="n"/>
      <c r="C25" s="27" t="n"/>
      <c r="D25" s="27" t="n"/>
      <c r="E25" s="27" t="n"/>
      <c r="F25" s="27" t="n"/>
      <c r="G25" s="27" t="n"/>
      <c r="H25" s="121" t="n"/>
    </row>
    <row r="26" ht="15" customHeight="1" thickTop="1">
      <c r="A26" s="23" t="n"/>
      <c r="H26" s="28" t="n"/>
    </row>
    <row r="27">
      <c r="A27" s="23" t="n"/>
      <c r="H27" s="28" t="n"/>
    </row>
    <row r="28">
      <c r="A28" s="23" t="n"/>
      <c r="H28" s="28" t="n"/>
    </row>
    <row r="29">
      <c r="A29" s="23" t="n"/>
      <c r="H29" s="28" t="n"/>
    </row>
    <row r="30">
      <c r="A30" s="23" t="n"/>
      <c r="H30" s="28" t="n"/>
    </row>
    <row r="31" ht="15" customHeight="1" thickBot="1">
      <c r="A31" s="23" t="n"/>
      <c r="H31" s="28" t="n"/>
    </row>
    <row r="32" ht="15" customHeight="1" thickBot="1">
      <c r="A32" s="122" t="inlineStr">
        <is>
          <t>Bank Details:</t>
        </is>
      </c>
      <c r="B32" s="17" t="n"/>
      <c r="C32" s="18" t="n"/>
      <c r="H32" s="28" t="n"/>
    </row>
    <row r="33">
      <c r="A33" s="23" t="inlineStr">
        <is>
          <t>Name:</t>
        </is>
      </c>
      <c r="B33" s="65" t="inlineStr">
        <is>
          <t>Jobuss Resources Pvt. Ltd.</t>
        </is>
      </c>
      <c r="C33" s="28" t="n"/>
      <c r="H33" s="28" t="n"/>
    </row>
    <row r="34">
      <c r="A34" s="23" t="inlineStr">
        <is>
          <t>Bank Name:</t>
        </is>
      </c>
      <c r="B34" s="65" t="inlineStr">
        <is>
          <t>ICICI Bank</t>
        </is>
      </c>
      <c r="C34" s="28" t="n"/>
      <c r="H34" s="28" t="n"/>
    </row>
    <row r="35">
      <c r="A35" s="23" t="inlineStr">
        <is>
          <t>A/c No.:</t>
        </is>
      </c>
      <c r="B35" s="123" t="inlineStr">
        <is>
          <t>120905000960</t>
        </is>
      </c>
      <c r="C35" s="28" t="n"/>
      <c r="H35" s="28" t="n"/>
    </row>
    <row r="36">
      <c r="A36" s="23" t="inlineStr">
        <is>
          <t>IFSC Code:</t>
        </is>
      </c>
      <c r="B36" s="65" t="inlineStr">
        <is>
          <t>ICIC0001209</t>
        </is>
      </c>
      <c r="C36" s="28" t="n"/>
      <c r="H36" s="28" t="n"/>
    </row>
    <row r="37" ht="15" customHeight="1" thickBot="1">
      <c r="A37" s="29" t="inlineStr">
        <is>
          <t>MICR No:</t>
        </is>
      </c>
      <c r="B37" s="124" t="inlineStr">
        <is>
          <t xml:space="preserve"> 400229195</t>
        </is>
      </c>
      <c r="C37" s="33" t="n"/>
      <c r="H37" s="28" t="n"/>
    </row>
    <row r="38">
      <c r="A38" s="23" t="n"/>
      <c r="H38" s="28" t="n"/>
    </row>
    <row r="39">
      <c r="A39" s="23" t="n"/>
      <c r="H39" s="28" t="n"/>
    </row>
    <row r="40">
      <c r="A40" s="23" t="n"/>
      <c r="H40" s="28" t="n"/>
    </row>
    <row r="41">
      <c r="A41" s="23" t="n"/>
      <c r="H41" s="28" t="n"/>
    </row>
    <row r="42">
      <c r="A42" s="23" t="n"/>
      <c r="H42" s="28" t="n"/>
    </row>
    <row r="43">
      <c r="A43" s="23" t="n"/>
      <c r="H43" s="28" t="n"/>
    </row>
    <row r="44">
      <c r="A44" s="23" t="n"/>
      <c r="H44" s="28" t="n"/>
    </row>
    <row r="45" ht="15.6" customHeight="1">
      <c r="A45" s="23" t="n"/>
      <c r="G45" s="25" t="inlineStr">
        <is>
          <t xml:space="preserve">    For Jobuss Resources Pvt. Ltd.</t>
        </is>
      </c>
      <c r="H45" s="28" t="n"/>
    </row>
    <row r="46">
      <c r="A46" s="23" t="n"/>
      <c r="H46" s="28" t="n"/>
    </row>
    <row r="47">
      <c r="A47" s="23" t="n"/>
      <c r="H47" s="28" t="n"/>
    </row>
    <row r="48">
      <c r="A48" s="23" t="n"/>
      <c r="H48" s="28" t="n"/>
    </row>
    <row r="49">
      <c r="A49" s="23" t="n"/>
      <c r="H49" s="28" t="n"/>
    </row>
    <row r="50">
      <c r="A50" s="23" t="n"/>
      <c r="H50" s="28" t="n"/>
    </row>
    <row r="51">
      <c r="A51" s="23" t="n"/>
      <c r="H51" s="28" t="n"/>
    </row>
    <row r="52">
      <c r="A52" s="23" t="n"/>
      <c r="H52" s="28" t="n"/>
    </row>
    <row r="53" ht="15.6" customHeight="1">
      <c r="A53" s="23" t="n"/>
      <c r="G53" s="25" t="inlineStr">
        <is>
          <t xml:space="preserve">            Authorized Signatory</t>
        </is>
      </c>
      <c r="H53" s="28" t="n"/>
    </row>
    <row r="54" ht="15.6" customHeight="1">
      <c r="A54" s="23" t="n"/>
      <c r="G54" s="25" t="n"/>
      <c r="H54" s="28" t="n"/>
    </row>
    <row r="55" ht="15.6" customHeight="1">
      <c r="A55" s="23" t="n"/>
      <c r="G55" s="25" t="n"/>
      <c r="H55" s="28" t="n"/>
    </row>
    <row r="56" ht="15.6" customHeight="1">
      <c r="A56" s="23" t="n"/>
      <c r="G56" s="25" t="n"/>
      <c r="H56" s="28" t="n"/>
    </row>
    <row r="57" ht="15.6" customHeight="1">
      <c r="A57" s="23" t="n"/>
      <c r="G57" s="25" t="n"/>
      <c r="H57" s="28" t="n"/>
    </row>
    <row r="58">
      <c r="A58" s="23" t="n"/>
      <c r="H58" s="28" t="n"/>
    </row>
    <row r="59" ht="15.6" customHeight="1">
      <c r="A59" s="30" t="inlineStr">
        <is>
          <t>●   Early Remittance is Solicited.</t>
        </is>
      </c>
      <c r="B59" s="31" t="n"/>
      <c r="H59" s="28" t="n"/>
    </row>
    <row r="60" ht="15.75" customHeight="1">
      <c r="A60" s="125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8" t="n"/>
    </row>
    <row r="61" ht="22.5" customHeight="1">
      <c r="A61" s="23" t="n"/>
      <c r="H61" s="28" t="n"/>
    </row>
    <row r="62" ht="15" customHeight="1" thickBot="1">
      <c r="A62" s="29" t="n"/>
      <c r="B62" s="32" t="n"/>
      <c r="C62" s="32" t="n"/>
      <c r="D62" s="32" t="n"/>
      <c r="E62" s="32" t="n"/>
      <c r="F62" s="32" t="n"/>
      <c r="G62" s="32" t="n"/>
      <c r="H62" s="33" t="n"/>
    </row>
  </sheetData>
  <mergeCells count="30"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6" t="inlineStr">
        <is>
          <t>Kind Attention Person</t>
        </is>
      </c>
      <c r="B1" s="126" t="inlineStr">
        <is>
          <t>Employee Code</t>
        </is>
      </c>
      <c r="C1" s="126" t="inlineStr">
        <is>
          <t>Employee Name</t>
        </is>
      </c>
      <c r="D1" s="126" t="inlineStr">
        <is>
          <t>Billing</t>
        </is>
      </c>
      <c r="E1" s="126" t="inlineStr">
        <is>
          <t>No of days</t>
        </is>
      </c>
      <c r="F1" s="126" t="inlineStr">
        <is>
          <t>Eligible Days</t>
        </is>
      </c>
      <c r="G1" s="126" t="inlineStr">
        <is>
          <t>No of Saturdays</t>
        </is>
      </c>
      <c r="H1" s="126" t="inlineStr">
        <is>
          <t>No of Sundays</t>
        </is>
      </c>
      <c r="I1" s="126" t="inlineStr">
        <is>
          <t>No of Holidays</t>
        </is>
      </c>
      <c r="J1" s="126" t="inlineStr">
        <is>
          <t>Total Present</t>
        </is>
      </c>
      <c r="K1" s="126" t="inlineStr">
        <is>
          <t>Total Working Days</t>
        </is>
      </c>
      <c r="L1" s="126" t="inlineStr">
        <is>
          <t>Absents this Month</t>
        </is>
      </c>
      <c r="M1" s="126" t="inlineStr">
        <is>
          <t>Adjustment of Days</t>
        </is>
      </c>
      <c r="N1" s="126" t="inlineStr">
        <is>
          <t>Total Payable Days</t>
        </is>
      </c>
      <c r="O1" s="126" t="inlineStr">
        <is>
          <t>Total Payable Billing</t>
        </is>
      </c>
      <c r="P1" s="126" t="inlineStr">
        <is>
          <t>Charges</t>
        </is>
      </c>
      <c r="Q1" s="126" t="inlineStr">
        <is>
          <t>Out of Pocket Exp</t>
        </is>
      </c>
      <c r="R1" s="126" t="inlineStr">
        <is>
          <t>Arrears</t>
        </is>
      </c>
      <c r="S1" s="126" t="inlineStr">
        <is>
          <t>Total</t>
        </is>
      </c>
      <c r="T1" s="126" t="inlineStr">
        <is>
          <t>Grand Total</t>
        </is>
      </c>
      <c r="U1" s="126" t="inlineStr">
        <is>
          <t>Remark</t>
        </is>
      </c>
      <c r="V1" s="126" t="inlineStr">
        <is>
          <t>CGST @9%</t>
        </is>
      </c>
      <c r="W1" s="126" t="inlineStr">
        <is>
          <t>SGST @9%</t>
        </is>
      </c>
    </row>
    <row r="2">
      <c r="A2" s="127" t="inlineStr">
        <is>
          <t>Vidhya Dhamankar</t>
        </is>
      </c>
      <c r="B2" s="127" t="inlineStr">
        <is>
          <t>JB-10040</t>
        </is>
      </c>
      <c r="C2" s="127" t="inlineStr">
        <is>
          <t>MAYURI VILAS MANJALKAR</t>
        </is>
      </c>
      <c r="D2" s="127" t="n">
        <v>23385</v>
      </c>
      <c r="E2" s="127" t="n">
        <v>28</v>
      </c>
      <c r="F2" s="127" t="n">
        <v>28</v>
      </c>
      <c r="G2" s="127" t="n">
        <v>0</v>
      </c>
      <c r="H2" s="127" t="n">
        <v>4</v>
      </c>
      <c r="I2" s="127" t="n">
        <v>2</v>
      </c>
      <c r="J2" s="127" t="n">
        <v>25</v>
      </c>
      <c r="K2" s="127" t="n">
        <v>31</v>
      </c>
      <c r="L2" s="127" t="n">
        <v>0</v>
      </c>
      <c r="M2" s="127" t="n">
        <v>0</v>
      </c>
      <c r="N2" s="127" t="n">
        <v>31</v>
      </c>
      <c r="O2" s="127" t="n">
        <v>25891</v>
      </c>
      <c r="P2" s="127" t="n">
        <v>0</v>
      </c>
      <c r="Q2" s="127" t="n">
        <v>0</v>
      </c>
      <c r="R2" s="127" t="n">
        <v>0</v>
      </c>
      <c r="S2" s="127" t="n">
        <v>25891</v>
      </c>
      <c r="T2" s="127" t="n">
        <v>30551</v>
      </c>
      <c r="U2" s="127" t="n">
        <v/>
      </c>
      <c r="V2" s="127" t="n">
        <v>2330</v>
      </c>
      <c r="W2" s="127" t="n">
        <v>2330</v>
      </c>
    </row>
    <row r="3">
      <c r="A3" s="127" t="inlineStr">
        <is>
          <t>Vidhya Dhamankar</t>
        </is>
      </c>
      <c r="B3" s="127" t="inlineStr">
        <is>
          <t>JB-10007</t>
        </is>
      </c>
      <c r="C3" s="127" t="inlineStr">
        <is>
          <t>SHRAVANI SAGAR NARKAR</t>
        </is>
      </c>
      <c r="D3" s="127" t="n">
        <v>23235</v>
      </c>
      <c r="E3" s="127" t="n">
        <v>28</v>
      </c>
      <c r="F3" s="127" t="n">
        <v>28</v>
      </c>
      <c r="G3" s="127" t="n">
        <v>0</v>
      </c>
      <c r="H3" s="127" t="n">
        <v>4</v>
      </c>
      <c r="I3" s="127" t="n">
        <v>2</v>
      </c>
      <c r="J3" s="127" t="n">
        <v>25</v>
      </c>
      <c r="K3" s="127" t="n">
        <v>31</v>
      </c>
      <c r="L3" s="127" t="n">
        <v>0</v>
      </c>
      <c r="M3" s="127" t="n">
        <v>0</v>
      </c>
      <c r="N3" s="127" t="n">
        <v>31</v>
      </c>
      <c r="O3" s="127" t="n">
        <v>25724</v>
      </c>
      <c r="P3" s="127" t="n">
        <v>0</v>
      </c>
      <c r="Q3" s="127" t="n">
        <v>0</v>
      </c>
      <c r="R3" s="127" t="n">
        <v>0</v>
      </c>
      <c r="S3" s="127" t="n">
        <v>25724</v>
      </c>
      <c r="T3" s="127" t="n">
        <v>30355</v>
      </c>
      <c r="U3" s="127" t="n">
        <v/>
      </c>
      <c r="V3" s="127" t="n">
        <v>2315</v>
      </c>
      <c r="W3" s="127" t="n">
        <v>2315</v>
      </c>
    </row>
    <row r="4">
      <c r="A4" s="127" t="inlineStr">
        <is>
          <t>Vidhya Dhamankar</t>
        </is>
      </c>
      <c r="B4" s="127" t="inlineStr">
        <is>
          <t>JB-10049</t>
        </is>
      </c>
      <c r="C4" s="127" t="inlineStr">
        <is>
          <t>DIKSHA SACHIN JADHAV</t>
        </is>
      </c>
      <c r="D4" s="127" t="n">
        <v>22884</v>
      </c>
      <c r="E4" s="127" t="n">
        <v>28</v>
      </c>
      <c r="F4" s="127" t="n">
        <v>28</v>
      </c>
      <c r="G4" s="127" t="n">
        <v>0</v>
      </c>
      <c r="H4" s="127" t="n">
        <v>4</v>
      </c>
      <c r="I4" s="127" t="n">
        <v>2</v>
      </c>
      <c r="J4" s="127" t="n">
        <v>22</v>
      </c>
      <c r="K4" s="127" t="n">
        <v>28</v>
      </c>
      <c r="L4" s="127" t="n">
        <v>3</v>
      </c>
      <c r="M4" s="127" t="n">
        <v>3</v>
      </c>
      <c r="N4" s="127" t="n">
        <v>31</v>
      </c>
      <c r="O4" s="127" t="n">
        <v>25336</v>
      </c>
      <c r="P4" s="127" t="n">
        <v>0</v>
      </c>
      <c r="Q4" s="127" t="n">
        <v>0</v>
      </c>
      <c r="R4" s="127" t="n">
        <v>0</v>
      </c>
      <c r="S4" s="127" t="n">
        <v>25336</v>
      </c>
      <c r="T4" s="127" t="n">
        <v>29896</v>
      </c>
      <c r="U4" s="127" t="n">
        <v/>
      </c>
      <c r="V4" s="127" t="n">
        <v>2280</v>
      </c>
      <c r="W4" s="127" t="n">
        <v>2280</v>
      </c>
    </row>
    <row r="5">
      <c r="A5" s="127" t="inlineStr">
        <is>
          <t>Vidhya Dhamankar</t>
        </is>
      </c>
      <c r="B5" s="127" t="inlineStr">
        <is>
          <t>JB-10051</t>
        </is>
      </c>
      <c r="C5" s="127" t="inlineStr">
        <is>
          <t>PRATIKSHA DILIP POTE</t>
        </is>
      </c>
      <c r="D5" s="127" t="n">
        <v>22398</v>
      </c>
      <c r="E5" s="127" t="n">
        <v>28</v>
      </c>
      <c r="F5" s="127" t="n">
        <v>28</v>
      </c>
      <c r="G5" s="127" t="n">
        <v>0</v>
      </c>
      <c r="H5" s="127" t="n">
        <v>4</v>
      </c>
      <c r="I5" s="127" t="n">
        <v>2</v>
      </c>
      <c r="J5" s="127" t="n">
        <v>23</v>
      </c>
      <c r="K5" s="127" t="n">
        <v>29</v>
      </c>
      <c r="L5" s="127" t="n">
        <v>2</v>
      </c>
      <c r="M5" s="127" t="n">
        <v>2</v>
      </c>
      <c r="N5" s="127" t="n">
        <v>31</v>
      </c>
      <c r="O5" s="127" t="n">
        <v>24798</v>
      </c>
      <c r="P5" s="127" t="n">
        <v>0</v>
      </c>
      <c r="Q5" s="127" t="n">
        <v>0</v>
      </c>
      <c r="R5" s="127" t="n">
        <v>0</v>
      </c>
      <c r="S5" s="127" t="n">
        <v>24798</v>
      </c>
      <c r="T5" s="127" t="n">
        <v>29261</v>
      </c>
      <c r="U5" s="127" t="n">
        <v/>
      </c>
      <c r="V5" s="127" t="n">
        <v>2232</v>
      </c>
      <c r="W5" s="127" t="n">
        <v>2232</v>
      </c>
    </row>
    <row r="6">
      <c r="A6" s="127" t="inlineStr">
        <is>
          <t>Vidhya Dhamankar</t>
        </is>
      </c>
      <c r="B6" s="127" t="inlineStr">
        <is>
          <t>JB-10069</t>
        </is>
      </c>
      <c r="C6" s="127" t="inlineStr">
        <is>
          <t>ANIKET ANANDA DHANAWADE</t>
        </is>
      </c>
      <c r="D6" s="127" t="n">
        <v>22051</v>
      </c>
      <c r="E6" s="127" t="n">
        <v>28</v>
      </c>
      <c r="F6" s="127" t="n">
        <v>28</v>
      </c>
      <c r="G6" s="127" t="n">
        <v>0</v>
      </c>
      <c r="H6" s="127" t="n">
        <v>4</v>
      </c>
      <c r="I6" s="127" t="n">
        <v>2</v>
      </c>
      <c r="J6" s="127" t="n">
        <v>22</v>
      </c>
      <c r="K6" s="127" t="n">
        <v>28</v>
      </c>
      <c r="L6" s="127" t="n">
        <v>3</v>
      </c>
      <c r="M6" s="127" t="n">
        <v>3</v>
      </c>
      <c r="N6" s="127" t="n">
        <v>31</v>
      </c>
      <c r="O6" s="127" t="n">
        <v>24414</v>
      </c>
      <c r="P6" s="127" t="n">
        <v>0</v>
      </c>
      <c r="Q6" s="127" t="n">
        <v>0</v>
      </c>
      <c r="R6" s="127" t="n">
        <v>0</v>
      </c>
      <c r="S6" s="127" t="n">
        <v>24414</v>
      </c>
      <c r="T6" s="127" t="n">
        <v>28808</v>
      </c>
      <c r="U6" s="127" t="n">
        <v/>
      </c>
      <c r="V6" s="127" t="n">
        <v>2197</v>
      </c>
      <c r="W6" s="127" t="n">
        <v>2197</v>
      </c>
    </row>
    <row r="7">
      <c r="A7" s="127" t="inlineStr">
        <is>
          <t>Vidhya Dhamankar</t>
        </is>
      </c>
      <c r="B7" s="127" t="inlineStr">
        <is>
          <t>JB-10070</t>
        </is>
      </c>
      <c r="C7" s="127" t="inlineStr">
        <is>
          <t>ROSHANI DEEPAK KANDAR</t>
        </is>
      </c>
      <c r="D7" s="127" t="n">
        <v>22051</v>
      </c>
      <c r="E7" s="127" t="n">
        <v>28</v>
      </c>
      <c r="F7" s="127" t="n">
        <v>28</v>
      </c>
      <c r="G7" s="127" t="n">
        <v>0</v>
      </c>
      <c r="H7" s="127" t="n">
        <v>4</v>
      </c>
      <c r="I7" s="127" t="n">
        <v>2</v>
      </c>
      <c r="J7" s="127" t="n">
        <v>24</v>
      </c>
      <c r="K7" s="127" t="n">
        <v>30</v>
      </c>
      <c r="L7" s="127" t="n">
        <v>1</v>
      </c>
      <c r="M7" s="127" t="n">
        <v>1</v>
      </c>
      <c r="N7" s="127" t="n">
        <v>31</v>
      </c>
      <c r="O7" s="127" t="n">
        <v>24414</v>
      </c>
      <c r="P7" s="127" t="n">
        <v>0</v>
      </c>
      <c r="Q7" s="127" t="n">
        <v>0</v>
      </c>
      <c r="R7" s="127" t="n">
        <v>0</v>
      </c>
      <c r="S7" s="127" t="n">
        <v>24414</v>
      </c>
      <c r="T7" s="127" t="n">
        <v>28808</v>
      </c>
      <c r="U7" s="127" t="n">
        <v/>
      </c>
      <c r="V7" s="127" t="n">
        <v>2197</v>
      </c>
      <c r="W7" s="127" t="n">
        <v>2197</v>
      </c>
    </row>
    <row r="8">
      <c r="A8" s="127" t="inlineStr">
        <is>
          <t>Vidhya Dhamankar</t>
        </is>
      </c>
      <c r="B8" s="127" t="inlineStr">
        <is>
          <t>JB-10113</t>
        </is>
      </c>
      <c r="C8" s="127" t="inlineStr">
        <is>
          <t>SHRUTI JADHAV</t>
        </is>
      </c>
      <c r="D8" s="127" t="n">
        <v>20735</v>
      </c>
      <c r="E8" s="127" t="n">
        <v>28</v>
      </c>
      <c r="F8" s="127" t="n">
        <v>28</v>
      </c>
      <c r="G8" s="127" t="n">
        <v>0</v>
      </c>
      <c r="H8" s="127" t="n">
        <v>4</v>
      </c>
      <c r="I8" s="127" t="n">
        <v>2</v>
      </c>
      <c r="J8" s="127" t="n">
        <v>24</v>
      </c>
      <c r="K8" s="127" t="n">
        <v>30</v>
      </c>
      <c r="L8" s="127" t="n">
        <v>1</v>
      </c>
      <c r="M8" s="127" t="n">
        <v>1</v>
      </c>
      <c r="N8" s="127" t="n">
        <v>31</v>
      </c>
      <c r="O8" s="127" t="n">
        <v>22957</v>
      </c>
      <c r="P8" s="127" t="n">
        <v>0</v>
      </c>
      <c r="Q8" s="127" t="n">
        <v>0</v>
      </c>
      <c r="R8" s="127" t="n">
        <v>0</v>
      </c>
      <c r="S8" s="127" t="n">
        <v>22957</v>
      </c>
      <c r="T8" s="127" t="n">
        <v>27089</v>
      </c>
      <c r="U8" s="127" t="n">
        <v/>
      </c>
      <c r="V8" s="127" t="n">
        <v>2066</v>
      </c>
      <c r="W8" s="127" t="n">
        <v>2066</v>
      </c>
    </row>
    <row r="9">
      <c r="A9" s="127" t="inlineStr">
        <is>
          <t>Vidhya Dhamankar</t>
        </is>
      </c>
      <c r="B9" s="127" t="inlineStr">
        <is>
          <t>JB-10117</t>
        </is>
      </c>
      <c r="C9" s="127" t="inlineStr">
        <is>
          <t>MAYURI ANANT PANHALKAR</t>
        </is>
      </c>
      <c r="D9" s="127" t="n">
        <v>20735</v>
      </c>
      <c r="E9" s="127" t="n">
        <v>28</v>
      </c>
      <c r="F9" s="127" t="n">
        <v>28</v>
      </c>
      <c r="G9" s="127" t="n">
        <v>0</v>
      </c>
      <c r="H9" s="127" t="n">
        <v>4</v>
      </c>
      <c r="I9" s="127" t="n">
        <v>2</v>
      </c>
      <c r="J9" s="127" t="n">
        <v>24</v>
      </c>
      <c r="K9" s="127" t="n">
        <v>30</v>
      </c>
      <c r="L9" s="127" t="n">
        <v>1</v>
      </c>
      <c r="M9" s="127" t="n">
        <v>1</v>
      </c>
      <c r="N9" s="127" t="n">
        <v>31</v>
      </c>
      <c r="O9" s="127" t="n">
        <v>22957</v>
      </c>
      <c r="P9" s="127" t="n">
        <v>0</v>
      </c>
      <c r="Q9" s="127" t="n">
        <v>0</v>
      </c>
      <c r="R9" s="127" t="n">
        <v>0</v>
      </c>
      <c r="S9" s="127" t="n">
        <v>22957</v>
      </c>
      <c r="T9" s="127" t="n">
        <v>27089</v>
      </c>
      <c r="U9" s="127" t="n">
        <v/>
      </c>
      <c r="V9" s="127" t="n">
        <v>2066</v>
      </c>
      <c r="W9" s="127" t="n">
        <v>2066</v>
      </c>
    </row>
    <row r="10">
      <c r="A10" s="127" t="inlineStr">
        <is>
          <t>Vidhya Dhamankar</t>
        </is>
      </c>
      <c r="B10" s="127" t="inlineStr">
        <is>
          <t>JB-10137</t>
        </is>
      </c>
      <c r="C10" s="127" t="inlineStr">
        <is>
          <t>SAKSHI SURESH DAKVE</t>
        </is>
      </c>
      <c r="D10" s="127" t="n">
        <v>20735</v>
      </c>
      <c r="E10" s="127" t="n">
        <v>28</v>
      </c>
      <c r="F10" s="127" t="n">
        <v>28</v>
      </c>
      <c r="G10" s="127" t="n">
        <v>0</v>
      </c>
      <c r="H10" s="127" t="n">
        <v>4</v>
      </c>
      <c r="I10" s="127" t="n">
        <v>2</v>
      </c>
      <c r="J10" s="127" t="n">
        <v>25</v>
      </c>
      <c r="K10" s="127" t="n">
        <v>31</v>
      </c>
      <c r="L10" s="127" t="n">
        <v>0</v>
      </c>
      <c r="M10" s="127" t="n">
        <v>0</v>
      </c>
      <c r="N10" s="127" t="n">
        <v>31</v>
      </c>
      <c r="O10" s="127" t="n">
        <v>22957</v>
      </c>
      <c r="P10" s="127" t="n">
        <v>0</v>
      </c>
      <c r="Q10" s="127" t="n">
        <v>0</v>
      </c>
      <c r="R10" s="127" t="n">
        <v>0</v>
      </c>
      <c r="S10" s="127" t="n">
        <v>22957</v>
      </c>
      <c r="T10" s="127" t="n">
        <v>27089</v>
      </c>
      <c r="U10" s="127" t="n">
        <v/>
      </c>
      <c r="V10" s="127" t="n">
        <v>2066</v>
      </c>
      <c r="W10" s="127" t="n">
        <v>2066</v>
      </c>
    </row>
    <row r="11">
      <c r="A11" s="127" t="inlineStr">
        <is>
          <t>Vidhya Dhamankar</t>
        </is>
      </c>
      <c r="B11" s="127" t="inlineStr">
        <is>
          <t>JB-10138</t>
        </is>
      </c>
      <c r="C11" s="127" t="inlineStr">
        <is>
          <t>ANKITA SHRIPATI NALAWADE</t>
        </is>
      </c>
      <c r="D11" s="127" t="n">
        <v>20735</v>
      </c>
      <c r="E11" s="127" t="n">
        <v>28</v>
      </c>
      <c r="F11" s="127" t="n">
        <v>28</v>
      </c>
      <c r="G11" s="127" t="n">
        <v>0</v>
      </c>
      <c r="H11" s="127" t="n">
        <v>4</v>
      </c>
      <c r="I11" s="127" t="n">
        <v>2</v>
      </c>
      <c r="J11" s="127" t="n">
        <v>23</v>
      </c>
      <c r="K11" s="127" t="n">
        <v>29</v>
      </c>
      <c r="L11" s="127" t="n">
        <v>2</v>
      </c>
      <c r="M11" s="127" t="n">
        <v>2</v>
      </c>
      <c r="N11" s="127" t="n">
        <v>31</v>
      </c>
      <c r="O11" s="127" t="n">
        <v>22957</v>
      </c>
      <c r="P11" s="127" t="n">
        <v>0</v>
      </c>
      <c r="Q11" s="127" t="n">
        <v>0</v>
      </c>
      <c r="R11" s="127" t="n">
        <v>0</v>
      </c>
      <c r="S11" s="127" t="n">
        <v>22957</v>
      </c>
      <c r="T11" s="127" t="n">
        <v>27089</v>
      </c>
      <c r="U11" s="127" t="n">
        <v/>
      </c>
      <c r="V11" s="127" t="n">
        <v>2066</v>
      </c>
      <c r="W11" s="127" t="n">
        <v>2066</v>
      </c>
    </row>
    <row r="12">
      <c r="A12" s="127" t="inlineStr">
        <is>
          <t>Vidhya Dhamankar</t>
        </is>
      </c>
      <c r="B12" s="127" t="inlineStr">
        <is>
          <t>JB-10140</t>
        </is>
      </c>
      <c r="C12" s="127" t="inlineStr">
        <is>
          <t>VISHAL VITTHAL SALATE</t>
        </is>
      </c>
      <c r="D12" s="127" t="n">
        <v>20735</v>
      </c>
      <c r="E12" s="127" t="n">
        <v>28</v>
      </c>
      <c r="F12" s="127" t="n">
        <v>28</v>
      </c>
      <c r="G12" s="127" t="n">
        <v>0</v>
      </c>
      <c r="H12" s="127" t="n">
        <v>4</v>
      </c>
      <c r="I12" s="127" t="n">
        <v>2</v>
      </c>
      <c r="J12" s="127" t="n">
        <v>24</v>
      </c>
      <c r="K12" s="127" t="n">
        <v>30</v>
      </c>
      <c r="L12" s="127" t="n">
        <v>1</v>
      </c>
      <c r="M12" s="127" t="n">
        <v>1</v>
      </c>
      <c r="N12" s="127" t="n">
        <v>31</v>
      </c>
      <c r="O12" s="127" t="n">
        <v>22957</v>
      </c>
      <c r="P12" s="127" t="n">
        <v>0</v>
      </c>
      <c r="Q12" s="127" t="n">
        <v>0</v>
      </c>
      <c r="R12" s="127" t="n">
        <v>0</v>
      </c>
      <c r="S12" s="127" t="n">
        <v>22957</v>
      </c>
      <c r="T12" s="127" t="n">
        <v>27089</v>
      </c>
      <c r="U12" s="127" t="n">
        <v/>
      </c>
      <c r="V12" s="127" t="n">
        <v>2066</v>
      </c>
      <c r="W12" s="127" t="n">
        <v>2066</v>
      </c>
    </row>
    <row r="13">
      <c r="A13" s="127" t="inlineStr">
        <is>
          <t>Vidhya Dhamankar</t>
        </is>
      </c>
      <c r="B13" s="127" t="inlineStr">
        <is>
          <t>JB-10156</t>
        </is>
      </c>
      <c r="C13" s="127" t="inlineStr">
        <is>
          <t>SHRUTI SHASHIKANT PAWAR</t>
        </is>
      </c>
      <c r="D13" s="127" t="n">
        <v>20735</v>
      </c>
      <c r="E13" s="127" t="n">
        <v>28</v>
      </c>
      <c r="F13" s="127" t="n">
        <v>28</v>
      </c>
      <c r="G13" s="127" t="n">
        <v>0</v>
      </c>
      <c r="H13" s="127" t="n">
        <v>4</v>
      </c>
      <c r="I13" s="127" t="n">
        <v>2</v>
      </c>
      <c r="J13" s="127" t="n">
        <v>24</v>
      </c>
      <c r="K13" s="127" t="n">
        <v>30</v>
      </c>
      <c r="L13" s="127" t="n">
        <v>1</v>
      </c>
      <c r="M13" s="127" t="n">
        <v>1</v>
      </c>
      <c r="N13" s="127" t="n">
        <v>31</v>
      </c>
      <c r="O13" s="127" t="n">
        <v>22957</v>
      </c>
      <c r="P13" s="127" t="n">
        <v>0</v>
      </c>
      <c r="Q13" s="127" t="n">
        <v>0</v>
      </c>
      <c r="R13" s="127" t="n">
        <v>0</v>
      </c>
      <c r="S13" s="127" t="n">
        <v>22957</v>
      </c>
      <c r="T13" s="127" t="n">
        <v>27089</v>
      </c>
      <c r="U13" s="127" t="n">
        <v/>
      </c>
      <c r="V13" s="127" t="n">
        <v>2066</v>
      </c>
      <c r="W13" s="127" t="n">
        <v>2066</v>
      </c>
    </row>
    <row r="14">
      <c r="A14" s="127" t="inlineStr">
        <is>
          <t>Vidhya Dhamankar</t>
        </is>
      </c>
      <c r="B14" s="127" t="inlineStr">
        <is>
          <t>JB-10159</t>
        </is>
      </c>
      <c r="C14" s="127" t="inlineStr">
        <is>
          <t>TANVI MADHUKAR PANSARE</t>
        </is>
      </c>
      <c r="D14" s="127" t="n">
        <v>20735</v>
      </c>
      <c r="E14" s="127" t="n">
        <v>28</v>
      </c>
      <c r="F14" s="127" t="n">
        <v>28</v>
      </c>
      <c r="G14" s="127" t="n">
        <v>0</v>
      </c>
      <c r="H14" s="127" t="n">
        <v>4</v>
      </c>
      <c r="I14" s="127" t="n">
        <v>2</v>
      </c>
      <c r="J14" s="127" t="n">
        <v>25</v>
      </c>
      <c r="K14" s="127" t="n">
        <v>31</v>
      </c>
      <c r="L14" s="127" t="n">
        <v>0</v>
      </c>
      <c r="M14" s="127" t="n">
        <v>0</v>
      </c>
      <c r="N14" s="127" t="n">
        <v>31</v>
      </c>
      <c r="O14" s="127" t="n">
        <v>22957</v>
      </c>
      <c r="P14" s="127" t="n">
        <v>0</v>
      </c>
      <c r="Q14" s="127" t="n">
        <v>0</v>
      </c>
      <c r="R14" s="127" t="n">
        <v>0</v>
      </c>
      <c r="S14" s="127" t="n">
        <v>22957</v>
      </c>
      <c r="T14" s="127" t="n">
        <v>27089</v>
      </c>
      <c r="U14" s="127" t="n">
        <v/>
      </c>
      <c r="V14" s="127" t="n">
        <v>2066</v>
      </c>
      <c r="W14" s="127" t="n">
        <v>2066</v>
      </c>
    </row>
    <row r="15">
      <c r="A15" s="127" t="inlineStr">
        <is>
          <t>Vidhya Dhamankar</t>
        </is>
      </c>
      <c r="B15" s="127" t="inlineStr">
        <is>
          <t>JB-10160</t>
        </is>
      </c>
      <c r="C15" s="127" t="inlineStr">
        <is>
          <t>SAHIL LAHU MHATRE</t>
        </is>
      </c>
      <c r="D15" s="127" t="n">
        <v>20735</v>
      </c>
      <c r="E15" s="127" t="n">
        <v>28</v>
      </c>
      <c r="F15" s="127" t="n">
        <v>28</v>
      </c>
      <c r="G15" s="127" t="n">
        <v>0</v>
      </c>
      <c r="H15" s="127" t="n">
        <v>4</v>
      </c>
      <c r="I15" s="127" t="n">
        <v>2</v>
      </c>
      <c r="J15" s="127" t="n">
        <v>23</v>
      </c>
      <c r="K15" s="127" t="n">
        <v>29</v>
      </c>
      <c r="L15" s="127" t="n">
        <v>2</v>
      </c>
      <c r="M15" s="127" t="n">
        <v>2</v>
      </c>
      <c r="N15" s="127" t="n">
        <v>31</v>
      </c>
      <c r="O15" s="127" t="n">
        <v>22957</v>
      </c>
      <c r="P15" s="127" t="n">
        <v>0</v>
      </c>
      <c r="Q15" s="127" t="n">
        <v>0</v>
      </c>
      <c r="R15" s="127" t="n">
        <v>0</v>
      </c>
      <c r="S15" s="127" t="n">
        <v>22957</v>
      </c>
      <c r="T15" s="127" t="n">
        <v>27089</v>
      </c>
      <c r="U15" s="127" t="n">
        <v/>
      </c>
      <c r="V15" s="127" t="n">
        <v>2066</v>
      </c>
      <c r="W15" s="127" t="n">
        <v>2066</v>
      </c>
    </row>
    <row r="16">
      <c r="A16" s="127" t="inlineStr">
        <is>
          <t>Vidhya Dhamankar</t>
        </is>
      </c>
      <c r="B16" s="127" t="inlineStr">
        <is>
          <t>JB-10163</t>
        </is>
      </c>
      <c r="C16" s="127" t="inlineStr">
        <is>
          <t>VIVEK VINOD TIWARI</t>
        </is>
      </c>
      <c r="D16" s="127" t="n">
        <v>20735</v>
      </c>
      <c r="E16" s="127" t="n">
        <v>28</v>
      </c>
      <c r="F16" s="127" t="n">
        <v>28</v>
      </c>
      <c r="G16" s="127" t="n">
        <v>0</v>
      </c>
      <c r="H16" s="127" t="n">
        <v>4</v>
      </c>
      <c r="I16" s="127" t="n">
        <v>2</v>
      </c>
      <c r="J16" s="127" t="n">
        <v>24</v>
      </c>
      <c r="K16" s="127" t="n">
        <v>30</v>
      </c>
      <c r="L16" s="127" t="n">
        <v>1</v>
      </c>
      <c r="M16" s="127" t="n">
        <v>1</v>
      </c>
      <c r="N16" s="127" t="n">
        <v>31</v>
      </c>
      <c r="O16" s="127" t="n">
        <v>22957</v>
      </c>
      <c r="P16" s="127" t="n">
        <v>0</v>
      </c>
      <c r="Q16" s="127" t="n">
        <v>0</v>
      </c>
      <c r="R16" s="127" t="n">
        <v>0</v>
      </c>
      <c r="S16" s="127" t="n">
        <v>22957</v>
      </c>
      <c r="T16" s="127" t="n">
        <v>27089</v>
      </c>
      <c r="U16" s="127" t="n">
        <v/>
      </c>
      <c r="V16" s="127" t="n">
        <v>2066</v>
      </c>
      <c r="W16" s="127" t="n">
        <v>2066</v>
      </c>
    </row>
    <row r="17">
      <c r="A17" s="127" t="inlineStr">
        <is>
          <t>Vidhya Dhamankar</t>
        </is>
      </c>
      <c r="B17" s="127" t="inlineStr">
        <is>
          <t>JB-10165</t>
        </is>
      </c>
      <c r="C17" s="127" t="inlineStr">
        <is>
          <t>SHRUTI CHANDRAKANT UTEKAR</t>
        </is>
      </c>
      <c r="D17" s="127" t="n">
        <v>20735</v>
      </c>
      <c r="E17" s="127" t="n">
        <v>28</v>
      </c>
      <c r="F17" s="127" t="n">
        <v>28</v>
      </c>
      <c r="G17" s="127" t="n">
        <v>0</v>
      </c>
      <c r="H17" s="127" t="n">
        <v>4</v>
      </c>
      <c r="I17" s="127" t="n">
        <v>2</v>
      </c>
      <c r="J17" s="127" t="n">
        <v>20</v>
      </c>
      <c r="K17" s="127" t="n">
        <v>26</v>
      </c>
      <c r="L17" s="127" t="n">
        <v>5</v>
      </c>
      <c r="M17" s="127" t="n">
        <v>5</v>
      </c>
      <c r="N17" s="127" t="n">
        <v>31</v>
      </c>
      <c r="O17" s="127" t="n">
        <v>22957</v>
      </c>
      <c r="P17" s="127" t="n">
        <v>0</v>
      </c>
      <c r="Q17" s="127" t="n">
        <v>0</v>
      </c>
      <c r="R17" s="127" t="n">
        <v>0</v>
      </c>
      <c r="S17" s="127" t="n">
        <v>22957</v>
      </c>
      <c r="T17" s="127" t="n">
        <v>27089</v>
      </c>
      <c r="U17" s="127" t="n">
        <v/>
      </c>
      <c r="V17" s="127" t="n">
        <v>2066</v>
      </c>
      <c r="W17" s="127" t="n">
        <v>2066</v>
      </c>
    </row>
    <row r="18">
      <c r="A18" s="128" t="inlineStr">
        <is>
          <t>TOTAL</t>
        </is>
      </c>
      <c r="B18" s="128" t="n"/>
      <c r="C18" s="128" t="n"/>
      <c r="D18" s="128">
        <f>ROUND(SUM(D2:D17), 0)</f>
        <v/>
      </c>
      <c r="E18" s="128">
        <f>ROUND(SUM(E2:E17), 0)</f>
        <v/>
      </c>
      <c r="F18" s="128">
        <f>ROUND(SUM(F2:F17), 0)</f>
        <v/>
      </c>
      <c r="G18" s="128">
        <f>ROUND(SUM(G2:G17), 0)</f>
        <v/>
      </c>
      <c r="H18" s="128">
        <f>ROUND(SUM(H2:H17), 0)</f>
        <v/>
      </c>
      <c r="I18" s="128">
        <f>ROUND(SUM(I2:I17), 0)</f>
        <v/>
      </c>
      <c r="J18" s="128">
        <f>ROUND(SUM(J2:J17), 0)</f>
        <v/>
      </c>
      <c r="K18" s="128">
        <f>ROUND(SUM(K2:K17), 0)</f>
        <v/>
      </c>
      <c r="L18" s="128">
        <f>ROUND(SUM(L2:L17), 0)</f>
        <v/>
      </c>
      <c r="M18" s="128">
        <f>ROUND(SUM(M2:M17), 0)</f>
        <v/>
      </c>
      <c r="N18" s="128">
        <f>ROUND(SUM(N2:N17), 0)</f>
        <v/>
      </c>
      <c r="O18" s="128">
        <f>ROUND(SUM(O2:O17), 0)</f>
        <v/>
      </c>
      <c r="P18" s="128">
        <f>ROUND(SUM(P2:P17), 0)</f>
        <v/>
      </c>
      <c r="Q18" s="128">
        <f>ROUND(SUM(Q2:Q17), 0)</f>
        <v/>
      </c>
      <c r="R18" s="128">
        <f>ROUND(SUM(R2:R17), 0)</f>
        <v/>
      </c>
      <c r="S18" s="128">
        <f>ROUND(SUM(S2:S17), 0)</f>
        <v/>
      </c>
      <c r="T18" s="128">
        <f>ROUND(SUM(S18,V18,W18), 0)</f>
        <v/>
      </c>
      <c r="U18" s="128" t="n"/>
      <c r="V18" s="128">
        <f>CEILING(SUM(V2:V17), 1)</f>
        <v/>
      </c>
      <c r="W18" s="128">
        <f>CEILING(SUM(W2:W17),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2025-12-30T06:52:43Z</dcterms:created>
  <dcterms:modified xsi:type="dcterms:W3CDTF">2026-02-28T12:36:49Z</dcterms:modified>
  <cp:lastModifiedBy>Kanishk Maheshwari</cp:lastModifiedBy>
  <cp:lastPrinted>2025-12-30T12:35:56Z</cp:lastPrinted>
</cp:coreProperties>
</file>