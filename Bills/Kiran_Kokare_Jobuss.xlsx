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Pradeep Sing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117475</colOff>
      <row>45</row>
      <rowOff>79375</rowOff>
    </from>
    <to>
      <col>5</col>
      <colOff>582295</colOff>
      <row>52</row>
      <rowOff>101600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84575" y="9547225"/>
          <a:ext cx="1341120" cy="13112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876300</colOff>
      <row>46</row>
      <rowOff>0</rowOff>
    </from>
    <to>
      <col>7</col>
      <colOff>450850</colOff>
      <row>51</row>
      <rowOff>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9650" y="9652000"/>
          <a:ext cx="1377950" cy="920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8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4" zoomScaleNormal="98" workbookViewId="0">
      <selection activeCell="B24" sqref="B24"/>
    </sheetView>
  </sheetViews>
  <sheetFormatPr baseColWidth="8" defaultRowHeight="14.4"/>
  <cols>
    <col width="10.88671875" customWidth="1" min="1" max="1"/>
    <col width="10" customWidth="1" min="2" max="2"/>
    <col width="18.88671875" customWidth="1" min="3" max="3"/>
    <col width="13.5546875" customWidth="1" min="4" max="4"/>
    <col width="12.5546875" customWidth="1" min="5" max="5"/>
    <col width="12.33203125" customWidth="1" min="6" max="6"/>
    <col width="25.88671875" customWidth="1" min="7" max="7"/>
    <col width="24.5546875" customWidth="1" min="8" max="8"/>
  </cols>
  <sheetData>
    <row r="1" ht="15" customHeight="1" thickBot="1"/>
    <row r="2" ht="89.25" customHeight="1" thickBot="1">
      <c r="A2" s="78" t="inlineStr">
        <is>
          <t>Jobuss Resources Pvt Ltd.</t>
        </is>
      </c>
      <c r="B2" s="16" t="n"/>
      <c r="C2" s="16" t="n"/>
      <c r="D2" s="16" t="n"/>
      <c r="E2" s="16" t="n"/>
      <c r="F2" s="81" t="n"/>
      <c r="G2" s="16" t="n"/>
      <c r="H2" s="17" t="n"/>
    </row>
    <row r="3" ht="17.4" customHeight="1" thickBot="1">
      <c r="A3" s="91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2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3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4" t="inlineStr">
        <is>
          <t>Hathway Digital Limited</t>
        </is>
      </c>
      <c r="B7" s="95" t="n"/>
      <c r="C7" s="95" t="n"/>
      <c r="D7" s="95" t="n"/>
      <c r="E7" s="96" t="n"/>
      <c r="F7" s="4" t="inlineStr">
        <is>
          <t>Bill No. :</t>
        </is>
      </c>
      <c r="G7" s="33" t="n"/>
      <c r="H7" s="5" t="n"/>
    </row>
    <row r="8">
      <c r="A8" s="97" t="inlineStr">
        <is>
          <t>802, 8th Floor, Interface- 11,</t>
        </is>
      </c>
      <c r="E8" s="98" t="n"/>
      <c r="F8" s="99" t="inlineStr">
        <is>
          <t>PAN: AAECJ2353C</t>
        </is>
      </c>
      <c r="H8" s="27" t="n"/>
    </row>
    <row r="9">
      <c r="A9" s="97" t="inlineStr">
        <is>
          <t>Link Road, Malad West,</t>
        </is>
      </c>
      <c r="E9" s="98" t="n"/>
      <c r="F9" s="99" t="inlineStr">
        <is>
          <t>GST No:  27AAECJ2353C1ZX</t>
        </is>
      </c>
      <c r="H9" s="27" t="n"/>
      <c r="I9" s="6" t="n"/>
    </row>
    <row r="10">
      <c r="A10" s="97" t="inlineStr">
        <is>
          <t>Mumbai, Maharashtra, 400064</t>
        </is>
      </c>
      <c r="E10" s="98" t="n"/>
      <c r="F10" s="99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27AACCV5591N2ZL</t>
        </is>
      </c>
      <c r="C11" s="8" t="n"/>
      <c r="D11" s="8" t="n"/>
      <c r="E11" s="9" t="n"/>
      <c r="F11" s="99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 xml:space="preserve"> AACCV5591N</t>
        </is>
      </c>
      <c r="C12" s="8" t="n"/>
      <c r="D12" s="8" t="n"/>
      <c r="E12" s="9" t="n"/>
      <c r="F12" s="10" t="inlineStr">
        <is>
          <t>Bill Date :</t>
        </is>
      </c>
      <c r="G12" s="100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Kiran Kokare</t>
        </is>
      </c>
      <c r="C13" s="8" t="n"/>
      <c r="D13" s="8" t="n"/>
      <c r="E13" s="9" t="n"/>
      <c r="F13" s="54" t="inlineStr">
        <is>
          <t xml:space="preserve">Due Date: </t>
        </is>
      </c>
      <c r="G13" s="55" t="inlineStr">
        <is>
          <t>03-03-2026</t>
        </is>
      </c>
      <c r="H13" s="56" t="n"/>
    </row>
    <row r="14">
      <c r="A14" s="97" t="n"/>
      <c r="E14" s="98" t="n"/>
      <c r="F14" s="101" t="inlineStr">
        <is>
          <t>SAC Code:  998512 (Contract Staffing Services)</t>
        </is>
      </c>
      <c r="H14" s="27" t="n"/>
    </row>
    <row r="15" ht="15" customHeight="1" thickBot="1">
      <c r="A15" s="97" t="n"/>
      <c r="E15" s="98" t="n"/>
      <c r="F15" s="101" t="inlineStr">
        <is>
          <t>Place of Service: Mumbai</t>
        </is>
      </c>
      <c r="H15" s="27" t="n"/>
      <c r="I15" s="13" t="n"/>
      <c r="K15" s="102" t="n"/>
    </row>
    <row r="16" ht="18.6" customHeight="1" thickBot="1">
      <c r="A16" s="42" t="n"/>
      <c r="B16" s="63" t="n"/>
      <c r="C16" s="16" t="n"/>
      <c r="D16" s="16" t="n"/>
      <c r="E16" s="17" t="n"/>
      <c r="F16" s="43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3" t="inlineStr">
        <is>
          <t>Contract staffing services for Assistance in Respective Department Period: 26 Jan 2026 to 25 Feb 2026</t>
        </is>
      </c>
      <c r="G17" s="27" t="n"/>
      <c r="H17" s="104" t="n">
        <v>230824</v>
      </c>
    </row>
    <row r="18">
      <c r="A18" s="22" t="n"/>
      <c r="G18" s="27" t="n"/>
      <c r="H18" s="105" t="n"/>
    </row>
    <row r="19">
      <c r="A19" s="22" t="n"/>
      <c r="G19" s="27" t="n"/>
      <c r="H19" s="105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6" t="n"/>
    </row>
    <row r="21" ht="15.6" customHeight="1">
      <c r="A21" s="73" t="inlineStr">
        <is>
          <t>Add : CGST @ 9%</t>
        </is>
      </c>
      <c r="B21" s="107" t="n"/>
      <c r="C21" s="107" t="n"/>
      <c r="D21" s="107" t="n"/>
      <c r="E21" s="107" t="n"/>
      <c r="F21" s="107" t="n"/>
      <c r="G21" s="108" t="n"/>
      <c r="H21" s="109" t="n">
        <v>20774</v>
      </c>
    </row>
    <row r="22" ht="16.2" customHeight="1" thickBot="1">
      <c r="A22" s="74" t="inlineStr">
        <is>
          <t>Add : SGST @ 9%</t>
        </is>
      </c>
      <c r="B22" s="110" t="n"/>
      <c r="C22" s="110" t="n"/>
      <c r="D22" s="110" t="n"/>
      <c r="E22" s="110" t="n"/>
      <c r="F22" s="110" t="n"/>
      <c r="G22" s="111" t="n"/>
      <c r="H22" s="112" t="n">
        <v>20774</v>
      </c>
    </row>
    <row r="23">
      <c r="A23" s="22" t="n"/>
      <c r="H23" s="113" t="n">
        <v>272372</v>
      </c>
    </row>
    <row r="24" ht="15.6" customHeight="1">
      <c r="A24" s="23" t="inlineStr">
        <is>
          <t>Rupees:</t>
        </is>
      </c>
      <c r="B24" s="24" t="inlineStr">
        <is>
          <t>Two Lakh, Seventy-Two Thousand, Three Hundred And Seventy-Two Only</t>
        </is>
      </c>
      <c r="H24" s="105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4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5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6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6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6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6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7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38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38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8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2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9" t="inlineStr">
        <is>
          <t>Kind Attention Person</t>
        </is>
      </c>
      <c r="B1" s="119" t="inlineStr">
        <is>
          <t>Employee Code</t>
        </is>
      </c>
      <c r="C1" s="119" t="inlineStr">
        <is>
          <t>Employee Name</t>
        </is>
      </c>
      <c r="D1" s="119" t="inlineStr">
        <is>
          <t>Billing</t>
        </is>
      </c>
      <c r="E1" s="119" t="inlineStr">
        <is>
          <t>No of days</t>
        </is>
      </c>
      <c r="F1" s="119" t="inlineStr">
        <is>
          <t>Eligible Days</t>
        </is>
      </c>
      <c r="G1" s="119" t="inlineStr">
        <is>
          <t>No of Saturdays</t>
        </is>
      </c>
      <c r="H1" s="119" t="inlineStr">
        <is>
          <t>No of Sundays</t>
        </is>
      </c>
      <c r="I1" s="119" t="inlineStr">
        <is>
          <t>No of Holidays</t>
        </is>
      </c>
      <c r="J1" s="119" t="inlineStr">
        <is>
          <t>Total Present</t>
        </is>
      </c>
      <c r="K1" s="119" t="inlineStr">
        <is>
          <t>Total Working Days</t>
        </is>
      </c>
      <c r="L1" s="119" t="inlineStr">
        <is>
          <t>Absents this Month</t>
        </is>
      </c>
      <c r="M1" s="119" t="inlineStr">
        <is>
          <t>Adjustment of Days</t>
        </is>
      </c>
      <c r="N1" s="119" t="inlineStr">
        <is>
          <t>Total Payable Days</t>
        </is>
      </c>
      <c r="O1" s="119" t="inlineStr">
        <is>
          <t>Total Payable Billing</t>
        </is>
      </c>
      <c r="P1" s="119" t="inlineStr">
        <is>
          <t>Charges</t>
        </is>
      </c>
      <c r="Q1" s="119" t="inlineStr">
        <is>
          <t>Out of Pocket Exp</t>
        </is>
      </c>
      <c r="R1" s="119" t="inlineStr">
        <is>
          <t>Arrears</t>
        </is>
      </c>
      <c r="S1" s="119" t="inlineStr">
        <is>
          <t>Total</t>
        </is>
      </c>
      <c r="T1" s="119" t="inlineStr">
        <is>
          <t>Grand Total</t>
        </is>
      </c>
      <c r="U1" s="119" t="inlineStr">
        <is>
          <t>Remark</t>
        </is>
      </c>
      <c r="V1" s="119" t="inlineStr">
        <is>
          <t>CGST @9%</t>
        </is>
      </c>
      <c r="W1" s="119" t="inlineStr">
        <is>
          <t>SGST @9%</t>
        </is>
      </c>
      <c r="X1" s="119" t="inlineStr">
        <is>
          <t>IGST @18%</t>
        </is>
      </c>
    </row>
    <row r="2">
      <c r="A2" s="120" t="inlineStr">
        <is>
          <t>Kiran Kokare</t>
        </is>
      </c>
      <c r="B2" s="120" t="inlineStr">
        <is>
          <t>JB-10184</t>
        </is>
      </c>
      <c r="C2" s="120" t="inlineStr">
        <is>
          <t>MAYUR DINANATH PATIL</t>
        </is>
      </c>
      <c r="D2" s="120" t="n">
        <v>62500</v>
      </c>
      <c r="E2" s="120" t="n">
        <v>31</v>
      </c>
      <c r="F2" s="120" t="n">
        <v>31</v>
      </c>
      <c r="G2" s="120" t="n">
        <v>4</v>
      </c>
      <c r="H2" s="120" t="n">
        <v>4</v>
      </c>
      <c r="I2" s="120" t="n">
        <v>1</v>
      </c>
      <c r="J2" s="120" t="n">
        <v>22</v>
      </c>
      <c r="K2" s="120" t="n">
        <v>31</v>
      </c>
      <c r="L2" s="120" t="n">
        <v>0</v>
      </c>
      <c r="M2" s="120" t="n">
        <v>0</v>
      </c>
      <c r="N2" s="120" t="n">
        <v>31</v>
      </c>
      <c r="O2" s="120" t="n">
        <v>62500</v>
      </c>
      <c r="P2" s="120" t="n">
        <v>6250</v>
      </c>
      <c r="Q2" s="120" t="n">
        <v>0</v>
      </c>
      <c r="R2" s="120" t="n">
        <v>0</v>
      </c>
      <c r="S2" s="120" t="n">
        <v>68750</v>
      </c>
      <c r="T2" s="120" t="n">
        <v>81125</v>
      </c>
      <c r="U2" s="120" t="n">
        <v/>
      </c>
      <c r="V2" s="120" t="n">
        <v>6187.5</v>
      </c>
      <c r="W2" s="120" t="n">
        <v>6187.5</v>
      </c>
      <c r="X2" s="120" t="n">
        <v/>
      </c>
    </row>
    <row r="3">
      <c r="A3" s="120" t="inlineStr">
        <is>
          <t>Kiran Kokare</t>
        </is>
      </c>
      <c r="B3" s="120" t="inlineStr">
        <is>
          <t>AB10083</t>
        </is>
      </c>
      <c r="C3" s="120" t="inlineStr">
        <is>
          <t>PRANAV DEEPAK SHARMA</t>
        </is>
      </c>
      <c r="D3" s="120" t="n">
        <v>77000</v>
      </c>
      <c r="E3" s="120" t="n">
        <v>31</v>
      </c>
      <c r="F3" s="120" t="n">
        <v>31</v>
      </c>
      <c r="G3" s="120" t="n">
        <v>4</v>
      </c>
      <c r="H3" s="120" t="n">
        <v>4</v>
      </c>
      <c r="I3" s="120" t="n">
        <v>1</v>
      </c>
      <c r="J3" s="120" t="n">
        <v>22</v>
      </c>
      <c r="K3" s="120" t="n">
        <v>31</v>
      </c>
      <c r="L3" s="120" t="n">
        <v>0</v>
      </c>
      <c r="M3" s="120" t="n">
        <v>0</v>
      </c>
      <c r="N3" s="120" t="n">
        <v>31</v>
      </c>
      <c r="O3" s="120" t="n">
        <v>77000</v>
      </c>
      <c r="P3" s="120" t="n">
        <v>7700</v>
      </c>
      <c r="Q3" s="120" t="n">
        <v>0</v>
      </c>
      <c r="R3" s="120" t="n">
        <v>0</v>
      </c>
      <c r="S3" s="120" t="n">
        <v>84700</v>
      </c>
      <c r="T3" s="120" t="n">
        <v>99946</v>
      </c>
      <c r="U3" s="120" t="n">
        <v/>
      </c>
      <c r="V3" s="120" t="n">
        <v>7623</v>
      </c>
      <c r="W3" s="120" t="n">
        <v>7623</v>
      </c>
      <c r="X3" s="120" t="n">
        <v/>
      </c>
    </row>
    <row r="4">
      <c r="A4" s="120" t="inlineStr">
        <is>
          <t>Kiran Kokare</t>
        </is>
      </c>
      <c r="B4" s="120" t="inlineStr">
        <is>
          <t>JB-10104</t>
        </is>
      </c>
      <c r="C4" s="120" t="inlineStr">
        <is>
          <t>PRASHANT VIJAY SADVELKAR</t>
        </is>
      </c>
      <c r="D4" s="120" t="n">
        <v>35340</v>
      </c>
      <c r="E4" s="120" t="n">
        <v>31</v>
      </c>
      <c r="F4" s="120" t="n">
        <v>31</v>
      </c>
      <c r="G4" s="120" t="n">
        <v>4</v>
      </c>
      <c r="H4" s="120" t="n">
        <v>4</v>
      </c>
      <c r="I4" s="120" t="n">
        <v>1</v>
      </c>
      <c r="J4" s="120" t="n">
        <v>21</v>
      </c>
      <c r="K4" s="120" t="n">
        <v>30</v>
      </c>
      <c r="L4" s="120" t="n">
        <v>1</v>
      </c>
      <c r="M4" s="120" t="n">
        <v>1</v>
      </c>
      <c r="N4" s="120" t="n">
        <v>31</v>
      </c>
      <c r="O4" s="120" t="n">
        <v>35340</v>
      </c>
      <c r="P4" s="120" t="n">
        <v>3534</v>
      </c>
      <c r="Q4" s="120" t="n">
        <v>0</v>
      </c>
      <c r="R4" s="120" t="n">
        <v>0</v>
      </c>
      <c r="S4" s="120" t="n">
        <v>38874</v>
      </c>
      <c r="T4" s="120" t="n">
        <v>45871.32</v>
      </c>
      <c r="U4" s="120" t="n">
        <v/>
      </c>
      <c r="V4" s="120" t="n">
        <v>3498.66</v>
      </c>
      <c r="W4" s="120" t="n">
        <v>3498.66</v>
      </c>
      <c r="X4" s="120" t="n">
        <v/>
      </c>
    </row>
    <row r="5">
      <c r="A5" s="120" t="inlineStr">
        <is>
          <t>Kiran Kokare</t>
        </is>
      </c>
      <c r="B5" s="120" t="inlineStr">
        <is>
          <t>JB-10177</t>
        </is>
      </c>
      <c r="C5" s="120" t="inlineStr">
        <is>
          <t>ROHIT SAMPAT UMBARKAR</t>
        </is>
      </c>
      <c r="D5" s="120" t="n">
        <v>35000</v>
      </c>
      <c r="E5" s="120" t="n">
        <v>31</v>
      </c>
      <c r="F5" s="120" t="n">
        <v>31</v>
      </c>
      <c r="G5" s="120" t="n">
        <v>4</v>
      </c>
      <c r="H5" s="120" t="n">
        <v>4</v>
      </c>
      <c r="I5" s="120" t="n">
        <v>1</v>
      </c>
      <c r="J5" s="120" t="n">
        <v>21</v>
      </c>
      <c r="K5" s="120" t="n">
        <v>30</v>
      </c>
      <c r="L5" s="120" t="n">
        <v>1</v>
      </c>
      <c r="M5" s="120" t="n">
        <v>1</v>
      </c>
      <c r="N5" s="120" t="n">
        <v>31</v>
      </c>
      <c r="O5" s="120" t="n">
        <v>35000</v>
      </c>
      <c r="P5" s="120" t="n">
        <v>3500</v>
      </c>
      <c r="Q5" s="120" t="n">
        <v>0</v>
      </c>
      <c r="R5" s="120" t="n">
        <v>0</v>
      </c>
      <c r="S5" s="120" t="n">
        <v>38500</v>
      </c>
      <c r="T5" s="120" t="n">
        <v>45430</v>
      </c>
      <c r="U5" s="120" t="n">
        <v/>
      </c>
      <c r="V5" s="120" t="n">
        <v>3465</v>
      </c>
      <c r="W5" s="120" t="n">
        <v>3465</v>
      </c>
      <c r="X5" s="120" t="n">
        <v/>
      </c>
    </row>
    <row r="6">
      <c r="A6" s="121" t="inlineStr">
        <is>
          <t>TOTAL</t>
        </is>
      </c>
      <c r="B6" s="121" t="n"/>
      <c r="C6" s="121" t="n"/>
      <c r="D6" s="121">
        <f>ROUND(SUM(D2:D5), 0)</f>
        <v/>
      </c>
      <c r="E6" s="121">
        <f>ROUND(SUM(E2:E5), 0)</f>
        <v/>
      </c>
      <c r="F6" s="121">
        <f>ROUND(SUM(F2:F5), 0)</f>
        <v/>
      </c>
      <c r="G6" s="121">
        <f>ROUND(SUM(G2:G5), 0)</f>
        <v/>
      </c>
      <c r="H6" s="121">
        <f>ROUND(SUM(H2:H5), 0)</f>
        <v/>
      </c>
      <c r="I6" s="121">
        <f>ROUND(SUM(I2:I5), 0)</f>
        <v/>
      </c>
      <c r="J6" s="121">
        <f>ROUND(SUM(J2:J5), 0)</f>
        <v/>
      </c>
      <c r="K6" s="121">
        <f>ROUND(SUM(K2:K5), 0)</f>
        <v/>
      </c>
      <c r="L6" s="121">
        <f>ROUND(SUM(L2:L5), 0)</f>
        <v/>
      </c>
      <c r="M6" s="121">
        <f>ROUND(SUM(M2:M5), 0)</f>
        <v/>
      </c>
      <c r="N6" s="121">
        <f>ROUND(SUM(N2:N5), 0)</f>
        <v/>
      </c>
      <c r="O6" s="121">
        <f>ROUND(SUM(O2:O5), 0)</f>
        <v/>
      </c>
      <c r="P6" s="121">
        <f>ROUND(SUM(P2:P5), 0)</f>
        <v/>
      </c>
      <c r="Q6" s="121">
        <f>ROUND(SUM(Q2:Q5), 0)</f>
        <v/>
      </c>
      <c r="R6" s="121">
        <f>ROUND(SUM(R2:R5), 0)</f>
        <v/>
      </c>
      <c r="S6" s="121">
        <f>ROUND(SUM(S2:S5), 0)</f>
        <v/>
      </c>
      <c r="T6" s="121">
        <f>ROUND(SUM(S6), 0)</f>
        <v/>
      </c>
      <c r="U6" s="121" t="n"/>
      <c r="V6" s="121">
        <f>CEILING(SUM(V2:V5), 1)</f>
        <v/>
      </c>
      <c r="W6" s="121">
        <f>CEILING(SUM(W2:W5), 1)</f>
        <v/>
      </c>
      <c r="X6" s="121">
        <f>ROUND(SUM(X2:X5),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2025-10-24T07:18:23Z</dcterms:created>
  <dcterms:modified xsi:type="dcterms:W3CDTF">2026-02-28T10:00:09Z</dcterms:modified>
  <cp:lastModifiedBy>Kanishk Maheshwari</cp:lastModifiedBy>
  <cp:lastPrinted>2025-10-24T07:22:42Z</cp:lastPrinted>
</cp:coreProperties>
</file>