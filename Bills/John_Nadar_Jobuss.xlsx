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John Nadar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0" zoomScale="70" zoomScaleNormal="70" workbookViewId="0">
      <selection activeCell="C54" sqref="C5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>East Wing, Maker Chamber,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Jamnalal Bajaj Marg, Nariman Point,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Mumbai - 400021, Maharashtra, India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 xml:space="preserve">27AAACR5055K1Z7 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 xml:space="preserve">Mr. Parag Chauhan 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inlineStr">
        <is>
          <t>Work Order: 630335024</t>
        </is>
      </c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116821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10514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10514</v>
      </c>
    </row>
    <row r="23" ht="15" customHeight="1">
      <c r="A23" s="17" t="n"/>
      <c r="H23" s="98" t="n">
        <v>137849</v>
      </c>
    </row>
    <row r="24" ht="16.5" customHeight="1">
      <c r="A24" s="18" t="inlineStr">
        <is>
          <t>Rupees:</t>
        </is>
      </c>
      <c r="B24" s="19" t="inlineStr">
        <is>
          <t>One Lakh, Thirty-Seven Thousand, Eight Hundred And Forty-Nine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John Nadar</t>
        </is>
      </c>
      <c r="B2" s="106" t="inlineStr">
        <is>
          <t>JB-10109</t>
        </is>
      </c>
      <c r="C2" s="106" t="inlineStr">
        <is>
          <t>PRATIK MURARI SUHASARIA</t>
        </is>
      </c>
      <c r="D2" s="106" t="n">
        <v>108333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3</v>
      </c>
      <c r="J2" s="106" t="n">
        <v>16</v>
      </c>
      <c r="K2" s="106" t="n">
        <v>27</v>
      </c>
      <c r="L2" s="106" t="n">
        <v>3</v>
      </c>
      <c r="M2" s="106" t="n">
        <v>3</v>
      </c>
      <c r="N2" s="106" t="n">
        <v>30</v>
      </c>
      <c r="O2" s="106" t="n">
        <v>116071.07</v>
      </c>
      <c r="P2" s="106" t="n">
        <v>750</v>
      </c>
      <c r="Q2" s="106" t="n">
        <v>0</v>
      </c>
      <c r="R2" s="106" t="n">
        <v>0</v>
      </c>
      <c r="S2" s="106" t="n">
        <v>116821.07</v>
      </c>
      <c r="T2" s="106" t="n">
        <v>137848.86</v>
      </c>
      <c r="U2" s="106" t="n">
        <v/>
      </c>
      <c r="V2" s="106" t="n">
        <v>10513.9</v>
      </c>
      <c r="W2" s="106" t="n">
        <v>10513.9</v>
      </c>
      <c r="X2" s="106" t="n">
        <v/>
      </c>
    </row>
    <row r="3">
      <c r="A3" s="107" t="inlineStr">
        <is>
          <t>TOTAL</t>
        </is>
      </c>
      <c r="B3" s="107" t="n"/>
      <c r="C3" s="107" t="n"/>
      <c r="D3" s="107">
        <f>ROUND(SUM(D2:D2), 0)</f>
        <v/>
      </c>
      <c r="E3" s="107">
        <f>ROUND(SUM(E2:E2), 0)</f>
        <v/>
      </c>
      <c r="F3" s="107">
        <f>ROUND(SUM(F2:F2), 0)</f>
        <v/>
      </c>
      <c r="G3" s="107">
        <f>ROUND(SUM(G2:G2), 0)</f>
        <v/>
      </c>
      <c r="H3" s="107">
        <f>ROUND(SUM(H2:H2), 0)</f>
        <v/>
      </c>
      <c r="I3" s="107">
        <f>ROUND(SUM(I2:I2), 0)</f>
        <v/>
      </c>
      <c r="J3" s="107">
        <f>ROUND(SUM(J2:J2), 0)</f>
        <v/>
      </c>
      <c r="K3" s="107">
        <f>ROUND(SUM(K2:K2), 0)</f>
        <v/>
      </c>
      <c r="L3" s="107">
        <f>ROUND(SUM(L2:L2), 0)</f>
        <v/>
      </c>
      <c r="M3" s="107">
        <f>ROUND(SUM(M2:M2), 0)</f>
        <v/>
      </c>
      <c r="N3" s="107">
        <f>ROUND(SUM(N2:N2), 0)</f>
        <v/>
      </c>
      <c r="O3" s="107">
        <f>ROUND(SUM(O2:O2), 0)</f>
        <v/>
      </c>
      <c r="P3" s="107">
        <f>ROUND(SUM(P2:P2), 0)</f>
        <v/>
      </c>
      <c r="Q3" s="107">
        <f>ROUND(SUM(Q2:Q2), 0)</f>
        <v/>
      </c>
      <c r="R3" s="107">
        <f>ROUND(SUM(R2:R2), 0)</f>
        <v/>
      </c>
      <c r="S3" s="107">
        <f>ROUND(SUM(S2:S2), 0)</f>
        <v/>
      </c>
      <c r="T3" s="107">
        <f>ROUND(SUM(S3), 0)</f>
        <v/>
      </c>
      <c r="U3" s="107" t="n"/>
      <c r="V3" s="107">
        <f>CEILING(SUM(V2:V2), 1)</f>
        <v/>
      </c>
      <c r="W3" s="107">
        <f>CEILING(SUM(W2:W2), 1)</f>
        <v/>
      </c>
      <c r="X3" s="107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2026-02-28T11:21:52Z</dcterms:modified>
  <cp:lastModifiedBy>Kanishk Maheshwari</cp:lastModifiedBy>
  <cp:lastPrinted>2026-01-30T10:57:19Z</cp:lastPrinted>
</cp:coreProperties>
</file>