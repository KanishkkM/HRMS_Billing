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Ranjit Dash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 wrapText="1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36" zoomScale="116" zoomScaleNormal="55" workbookViewId="0">
      <selection activeCell="B24" sqref="B24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70" t="inlineStr">
        <is>
          <t>Jobuss Resources Pvt Ltd.</t>
        </is>
      </c>
      <c r="B2" s="7" t="n"/>
      <c r="C2" s="7" t="n"/>
      <c r="D2" s="7" t="n"/>
      <c r="E2" s="7" t="n"/>
      <c r="F2" s="73" t="n"/>
      <c r="G2" s="7" t="n"/>
      <c r="H2" s="8" t="n"/>
    </row>
    <row r="3" ht="17.4" customHeight="1" thickBot="1">
      <c r="A3" s="83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4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6" t="inlineStr">
        <is>
          <t>RELIANCE CORPORATE IT PARK LIMITED</t>
        </is>
      </c>
      <c r="B7" s="87" t="n"/>
      <c r="C7" s="87" t="n"/>
      <c r="D7" s="87" t="n"/>
      <c r="E7" s="88" t="n"/>
      <c r="F7" s="23" t="inlineStr">
        <is>
          <t xml:space="preserve">Bill No. : </t>
        </is>
      </c>
      <c r="G7" s="24" t="n"/>
      <c r="H7" s="25" t="n"/>
    </row>
    <row r="8">
      <c r="A8" s="89" t="inlineStr">
        <is>
          <t>5, TTC Industrial Area, Reliance Corporate Park,</t>
        </is>
      </c>
      <c r="E8" s="90" t="n"/>
      <c r="F8" s="91" t="inlineStr">
        <is>
          <t>PAN: AAECJ2353C</t>
        </is>
      </c>
      <c r="H8" s="17" t="n"/>
    </row>
    <row r="9">
      <c r="A9" s="92" t="inlineStr">
        <is>
          <t>Thane - Belapur Road, Ghansoli, Navi Mumbai</t>
        </is>
      </c>
      <c r="E9" s="90" t="n"/>
      <c r="F9" s="91" t="inlineStr">
        <is>
          <t>GST No:  27AAECJ2353C1ZX</t>
        </is>
      </c>
      <c r="H9" s="17" t="n"/>
      <c r="I9" s="4" t="n"/>
    </row>
    <row r="10">
      <c r="A10" s="92" t="inlineStr">
        <is>
          <t>Thane, Maharashtra, 400701</t>
        </is>
      </c>
      <c r="E10" s="90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27AABCD7169H2ZF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 </t>
        </is>
      </c>
      <c r="B12" s="27" t="inlineStr">
        <is>
          <t>AABCD7169H</t>
        </is>
      </c>
      <c r="C12" s="27" t="n"/>
      <c r="D12" s="27" t="n"/>
      <c r="E12" s="28" t="n"/>
      <c r="F12" s="64" t="inlineStr">
        <is>
          <t>Bill Date :</t>
        </is>
      </c>
      <c r="G12" s="65" t="inlineStr">
        <is>
          <t>28-02-2026</t>
        </is>
      </c>
      <c r="H12" s="66" t="n"/>
    </row>
    <row r="13">
      <c r="A13" s="26" t="inlineStr">
        <is>
          <t xml:space="preserve">Kind Attn: </t>
        </is>
      </c>
      <c r="B13" s="27" t="inlineStr">
        <is>
          <t>Mr. Ranjit Dash</t>
        </is>
      </c>
      <c r="C13" s="27" t="n"/>
      <c r="D13" s="27" t="n"/>
      <c r="E13" s="28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0" t="n"/>
      <c r="F15" s="93" t="inlineStr">
        <is>
          <t>Place of Service: Navi Mumbai</t>
        </is>
      </c>
      <c r="H15" s="17" t="n"/>
      <c r="I15" s="5" t="n"/>
      <c r="K15" s="94" t="n"/>
    </row>
    <row r="16" ht="15" customHeight="1" thickBot="1">
      <c r="A16" s="49" t="n"/>
      <c r="B16" s="7" t="n"/>
      <c r="C16" s="7" t="n"/>
      <c r="D16" s="7" t="n"/>
      <c r="E16" s="8" t="n"/>
      <c r="F16" s="49" t="inlineStr">
        <is>
          <t xml:space="preserve">Vendor Code: </t>
        </is>
      </c>
      <c r="G16" s="10" t="n">
        <v>3347687</v>
      </c>
      <c r="H16" s="8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80357</v>
      </c>
    </row>
    <row r="18">
      <c r="A18" s="12" t="n"/>
      <c r="G18" s="17" t="n"/>
      <c r="H18" s="99" t="n"/>
    </row>
    <row r="19">
      <c r="A19" s="12" t="n"/>
      <c r="G19" s="17" t="n"/>
      <c r="H19" s="99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0" t="n"/>
    </row>
    <row r="21" ht="18" customHeight="1" thickBot="1">
      <c r="A21" s="47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8" t="n">
        <v>7232</v>
      </c>
    </row>
    <row r="22" ht="15.75" customHeight="1" thickBot="1">
      <c r="A22" s="47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8" t="n">
        <v>7232</v>
      </c>
    </row>
    <row r="23" ht="15" customHeight="1">
      <c r="A23" s="12" t="n"/>
      <c r="H23" s="98" t="n">
        <v>94821</v>
      </c>
    </row>
    <row r="24" ht="16.5" customHeight="1">
      <c r="A24" s="13" t="inlineStr">
        <is>
          <t>Rupees:</t>
        </is>
      </c>
      <c r="B24" s="14" t="inlineStr">
        <is>
          <t>Ninety-Four Thousand, Eight Hundred And Twenty-One Only</t>
        </is>
      </c>
      <c r="H24" s="99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0" t="n"/>
    </row>
    <row r="26" ht="15" customHeight="1" thickTop="1">
      <c r="A26" s="12" t="n"/>
      <c r="H26" s="17" t="n"/>
    </row>
    <row r="27">
      <c r="A27" s="12" t="n"/>
      <c r="H27" s="17" t="n"/>
    </row>
    <row r="28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1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52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52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2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52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3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6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6" customHeight="1">
      <c r="A53" s="12" t="n"/>
      <c r="G53" s="14" t="inlineStr">
        <is>
          <t xml:space="preserve">            Authorized Signatory</t>
        </is>
      </c>
      <c r="H53" s="17" t="n"/>
    </row>
    <row r="54" ht="15.6" customHeight="1">
      <c r="A54" s="12" t="n"/>
      <c r="G54" s="14" t="n"/>
      <c r="H54" s="17" t="n"/>
    </row>
    <row r="55" ht="15.6" customHeight="1">
      <c r="A55" s="12" t="n"/>
      <c r="G55" s="14" t="n"/>
      <c r="H55" s="17" t="n"/>
    </row>
    <row r="56" ht="15.6" customHeight="1">
      <c r="A56" s="12" t="n"/>
      <c r="G56" s="14" t="n"/>
      <c r="H56" s="17" t="n"/>
    </row>
    <row r="57" ht="15.6" customHeight="1">
      <c r="A57" s="12" t="n"/>
      <c r="G57" s="14" t="n"/>
      <c r="H57" s="17" t="n"/>
    </row>
    <row r="58">
      <c r="A58" s="12" t="n"/>
      <c r="H58" s="17" t="n"/>
    </row>
    <row r="59" ht="15.6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4" t="inlineStr">
        <is>
          <t xml:space="preserve">  ●   GST No  27AAECJ2353C1ZX &amp; SAC Code  998513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5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</row>
    <row r="2">
      <c r="A2" s="106" t="inlineStr">
        <is>
          <t>Ranjit Dash</t>
        </is>
      </c>
      <c r="B2" s="106" t="inlineStr">
        <is>
          <t>JB-10262</t>
        </is>
      </c>
      <c r="C2" s="106" t="inlineStr">
        <is>
          <t>POOJA KUMARI</t>
        </is>
      </c>
      <c r="D2" s="106" t="n">
        <v>55000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1</v>
      </c>
      <c r="J2" s="106" t="n">
        <v>19</v>
      </c>
      <c r="K2" s="106" t="n">
        <v>28</v>
      </c>
      <c r="L2" s="106" t="n">
        <v>0</v>
      </c>
      <c r="M2" s="106" t="n">
        <v>0</v>
      </c>
      <c r="N2" s="106" t="n">
        <v>28</v>
      </c>
      <c r="O2" s="106" t="n">
        <v>55000</v>
      </c>
      <c r="P2" s="106" t="n">
        <v>5000</v>
      </c>
      <c r="Q2" s="106" t="n">
        <v>0</v>
      </c>
      <c r="R2" s="106" t="n">
        <v>0</v>
      </c>
      <c r="S2" s="106" t="n">
        <v>60000</v>
      </c>
      <c r="T2" s="106" t="n">
        <v>70800</v>
      </c>
      <c r="U2" s="106" t="n">
        <v/>
      </c>
      <c r="V2" s="106" t="n">
        <v>5400</v>
      </c>
      <c r="W2" s="106" t="n">
        <v>5400</v>
      </c>
    </row>
    <row r="3">
      <c r="A3" s="106" t="inlineStr">
        <is>
          <t>Ranjit Dash</t>
        </is>
      </c>
      <c r="B3" s="106" t="inlineStr">
        <is>
          <t>JB-10261</t>
        </is>
      </c>
      <c r="C3" s="106" t="inlineStr">
        <is>
          <t>ANKIT NAVNATH JADHAV</t>
        </is>
      </c>
      <c r="D3" s="106" t="n">
        <v>52000</v>
      </c>
      <c r="E3" s="106" t="n">
        <v>28</v>
      </c>
      <c r="F3" s="106" t="n">
        <v>28</v>
      </c>
      <c r="G3" s="106" t="n">
        <v>4</v>
      </c>
      <c r="H3" s="106" t="n">
        <v>4</v>
      </c>
      <c r="I3" s="106" t="n">
        <v>0</v>
      </c>
      <c r="J3" s="106" t="n">
        <v>2</v>
      </c>
      <c r="K3" s="106" t="n">
        <v>10</v>
      </c>
      <c r="L3" s="106" t="n">
        <v>2</v>
      </c>
      <c r="M3" s="106" t="n">
        <v>0</v>
      </c>
      <c r="N3" s="106" t="n">
        <v>10</v>
      </c>
      <c r="O3" s="106" t="n">
        <v>18571</v>
      </c>
      <c r="P3" s="106" t="n">
        <v>1786</v>
      </c>
      <c r="Q3" s="106" t="n">
        <v>0</v>
      </c>
      <c r="R3" s="106" t="n">
        <v>0</v>
      </c>
      <c r="S3" s="106" t="n">
        <v>20357</v>
      </c>
      <c r="T3" s="106" t="n">
        <v>24021</v>
      </c>
      <c r="U3" s="106" t="n">
        <v/>
      </c>
      <c r="V3" s="106" t="n">
        <v>1832</v>
      </c>
      <c r="W3" s="106" t="n">
        <v>1832</v>
      </c>
    </row>
    <row r="4">
      <c r="A4" s="107" t="inlineStr">
        <is>
          <t>TOTAL</t>
        </is>
      </c>
      <c r="B4" s="107" t="n"/>
      <c r="C4" s="107" t="n"/>
      <c r="D4" s="107">
        <f>ROUND(SUM(D2:D3), 0)</f>
        <v/>
      </c>
      <c r="E4" s="107">
        <f>ROUND(SUM(E2:E3), 0)</f>
        <v/>
      </c>
      <c r="F4" s="107">
        <f>ROUND(SUM(F2:F3), 0)</f>
        <v/>
      </c>
      <c r="G4" s="107">
        <f>ROUND(SUM(G2:G3), 0)</f>
        <v/>
      </c>
      <c r="H4" s="107">
        <f>ROUND(SUM(H2:H3), 0)</f>
        <v/>
      </c>
      <c r="I4" s="107">
        <f>ROUND(SUM(I2:I3), 0)</f>
        <v/>
      </c>
      <c r="J4" s="107">
        <f>ROUND(SUM(J2:J3), 0)</f>
        <v/>
      </c>
      <c r="K4" s="107">
        <f>ROUND(SUM(K2:K3), 0)</f>
        <v/>
      </c>
      <c r="L4" s="107">
        <f>ROUND(SUM(L2:L3), 0)</f>
        <v/>
      </c>
      <c r="M4" s="107">
        <f>ROUND(SUM(M2:M3), 0)</f>
        <v/>
      </c>
      <c r="N4" s="107">
        <f>ROUND(SUM(N2:N3), 0)</f>
        <v/>
      </c>
      <c r="O4" s="107">
        <f>ROUND(SUM(O2:O3), 0)</f>
        <v/>
      </c>
      <c r="P4" s="107">
        <f>ROUND(SUM(P2:P3), 0)</f>
        <v/>
      </c>
      <c r="Q4" s="107">
        <f>ROUND(SUM(Q2:Q3), 0)</f>
        <v/>
      </c>
      <c r="R4" s="107">
        <f>ROUND(SUM(R2:R3), 0)</f>
        <v/>
      </c>
      <c r="S4" s="107">
        <f>ROUND(SUM(S2:S3), 0)</f>
        <v/>
      </c>
      <c r="T4" s="107">
        <f>ROUND(SUM(S4,V4,W4), 0)</f>
        <v/>
      </c>
      <c r="U4" s="107" t="n"/>
      <c r="V4" s="107">
        <f>CEILING(SUM(V2:V3), 1)</f>
        <v/>
      </c>
      <c r="W4" s="107">
        <f>CEILING(SUM(W2:W3),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2026-02-28T12:36:48Z</dcterms:modified>
  <cp:lastModifiedBy>Kanishk Maheshwari</cp:lastModifiedBy>
  <cp:lastPrinted>2026-02-04T12:24:29Z</cp:lastPrinted>
</cp:coreProperties>
</file>