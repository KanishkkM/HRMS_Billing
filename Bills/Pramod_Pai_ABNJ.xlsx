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9140" windowHeight="6840" tabRatio="600" firstSheet="0" activeTab="0" autoFilterDateGrouping="1"/>
  </bookViews>
  <sheets>
    <sheet name="Sheet1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b val="1"/>
      <color rgb="FF000080"/>
      <sz val="28"/>
    </font>
    <font>
      <name val="Calibri"/>
      <family val="2"/>
      <color rgb="FF000080"/>
      <sz val="11"/>
      <scheme val="minor"/>
    </font>
    <font>
      <name val="Calibri"/>
      <family val="2"/>
      <b val="1"/>
      <color rgb="FF002060"/>
      <sz val="11"/>
      <scheme val="minor"/>
    </font>
    <font>
      <name val="MS Reference Sans Serif"/>
      <family val="2"/>
      <b val="1"/>
      <color theme="0"/>
      <sz val="12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21212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0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6" fillId="2" borderId="4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7" fillId="0" borderId="4" pivotButton="0" quotePrefix="0" xfId="0"/>
    <xf numFmtId="0" fontId="0" fillId="0" borderId="11" pivotButton="0" quotePrefix="0" xfId="0"/>
    <xf numFmtId="0" fontId="7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0" borderId="0" pivotButton="0" quotePrefix="0" xfId="0"/>
    <xf numFmtId="0" fontId="7" fillId="0" borderId="4" pivotButton="0" quotePrefix="0" xfId="0"/>
    <xf numFmtId="0" fontId="7" fillId="0" borderId="13" pivotButton="0" quotePrefix="0" xfId="0"/>
    <xf numFmtId="0" fontId="7" fillId="0" borderId="0" pivotButton="0" quotePrefix="0" xfId="0"/>
    <xf numFmtId="0" fontId="0" fillId="0" borderId="0" pivotButton="0" quotePrefix="0" xfId="0"/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2" pivotButton="0" quotePrefix="0" xfId="0"/>
    <xf numFmtId="0" fontId="0" fillId="0" borderId="19" applyAlignment="1" pivotButton="0" quotePrefix="0" xfId="0">
      <alignment horizontal="center"/>
    </xf>
    <xf numFmtId="0" fontId="8" fillId="0" borderId="19" applyAlignment="1" pivotButton="0" quotePrefix="0" xfId="0">
      <alignment horizontal="left" vertical="center"/>
    </xf>
    <xf numFmtId="0" fontId="2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8" fillId="0" borderId="19" applyAlignment="1" pivotButton="0" quotePrefix="0" xfId="0">
      <alignment horizontal="left"/>
    </xf>
    <xf numFmtId="0" fontId="8" fillId="0" borderId="13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left"/>
    </xf>
    <xf numFmtId="164" fontId="11" fillId="0" borderId="15" applyAlignment="1" pivotButton="0" quotePrefix="0" xfId="1">
      <alignment horizontal="center" vertical="center"/>
    </xf>
    <xf numFmtId="0" fontId="11" fillId="0" borderId="13" applyAlignment="1" pivotButton="0" quotePrefix="0" xfId="0">
      <alignment horizontal="center"/>
    </xf>
    <xf numFmtId="164" fontId="11" fillId="0" borderId="18" applyAlignment="1" pivotButton="0" quotePrefix="0" xfId="1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9" fillId="0" borderId="4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/>
    </xf>
    <xf numFmtId="0" fontId="7" fillId="0" borderId="4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13" applyAlignment="1" pivotButton="0" quotePrefix="0" xfId="0">
      <alignment horizontal="left" vertical="center"/>
    </xf>
    <xf numFmtId="0" fontId="2" fillId="0" borderId="13" pivotButton="0" quotePrefix="0" xfId="0"/>
    <xf numFmtId="0" fontId="6" fillId="2" borderId="0" applyAlignment="1" pivotButton="0" quotePrefix="0" xfId="0">
      <alignment horizontal="right"/>
    </xf>
    <xf numFmtId="0" fontId="6" fillId="2" borderId="13" applyAlignment="1" pivotButton="0" quotePrefix="0" xfId="0">
      <alignment horizontal="right"/>
    </xf>
    <xf numFmtId="0" fontId="2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center" vertical="center"/>
    </xf>
    <xf numFmtId="0" fontId="2" fillId="0" borderId="1" pivotButton="0" quotePrefix="0" xfId="0"/>
    <xf numFmtId="1" fontId="0" fillId="0" borderId="8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0" borderId="4" pivotButton="0" quotePrefix="0" xfId="0"/>
    <xf numFmtId="0" fontId="2" fillId="0" borderId="13" applyAlignment="1" pivotButton="0" quotePrefix="0" xfId="0">
      <alignment horizontal="center"/>
    </xf>
    <xf numFmtId="0" fontId="14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4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pivotButton="0" quotePrefix="0" xfId="0"/>
    <xf numFmtId="0" fontId="14" fillId="0" borderId="13" pivotButton="0" quotePrefix="0" xfId="0"/>
    <xf numFmtId="0" fontId="14" fillId="0" borderId="4" pivotButton="0" quotePrefix="0" xfId="0"/>
    <xf numFmtId="0" fontId="14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6" fillId="2" borderId="25" applyAlignment="1" pivotButton="0" quotePrefix="0" xfId="0">
      <alignment horizontal="right"/>
    </xf>
    <xf numFmtId="0" fontId="2" fillId="0" borderId="26" applyAlignment="1" pivotButton="0" quotePrefix="0" xfId="0">
      <alignment horizontal="center"/>
    </xf>
    <xf numFmtId="0" fontId="7" fillId="0" borderId="25" applyAlignment="1" pivotButton="0" quotePrefix="0" xfId="0">
      <alignment horizontal="left" vertical="center"/>
    </xf>
    <xf numFmtId="0" fontId="7" fillId="0" borderId="25" pivotButton="0" quotePrefix="0" xfId="0"/>
    <xf numFmtId="0" fontId="8" fillId="0" borderId="24" applyAlignment="1" pivotButton="0" quotePrefix="0" xfId="0">
      <alignment horizontal="left" vertical="center"/>
    </xf>
    <xf numFmtId="0" fontId="14" fillId="0" borderId="25" pivotButton="0" quotePrefix="0" xfId="0"/>
    <xf numFmtId="0" fontId="0" fillId="0" borderId="24" applyAlignment="1" pivotButton="0" quotePrefix="0" xfId="0">
      <alignment horizontal="center"/>
    </xf>
    <xf numFmtId="0" fontId="8" fillId="0" borderId="24" applyAlignment="1" pivotButton="0" quotePrefix="0" xfId="0">
      <alignment horizontal="left"/>
    </xf>
    <xf numFmtId="0" fontId="0" fillId="0" borderId="24" pivotButton="0" quotePrefix="0" xfId="0"/>
    <xf numFmtId="0" fontId="0" fillId="0" borderId="9" pivotButton="0" quotePrefix="0" xfId="0"/>
    <xf numFmtId="164" fontId="11" fillId="0" borderId="15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0" fontId="2" fillId="0" borderId="2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1" fontId="0" fillId="0" borderId="5" applyAlignment="1" pivotButton="0" quotePrefix="1" xfId="0">
      <alignment horizontal="center"/>
    </xf>
    <xf numFmtId="0" fontId="0" fillId="0" borderId="8" pivotButton="0" quotePrefix="0" xfId="0"/>
    <xf numFmtId="0" fontId="15" fillId="3" borderId="27" applyAlignment="1" pivotButton="0" quotePrefix="0" xfId="0">
      <alignment horizontal="center" vertical="center" wrapText="1"/>
    </xf>
    <xf numFmtId="0" fontId="0" fillId="0" borderId="27" pivotButton="0" quotePrefix="0" xfId="0"/>
    <xf numFmtId="1" fontId="0" fillId="0" borderId="27" pivotButton="0" quotePrefix="0" xfId="0"/>
    <xf numFmtId="0" fontId="15" fillId="4" borderId="27" applyAlignment="1" pivotButton="0" quotePrefix="0" xfId="0">
      <alignment horizontal="center" vertical="center" wrapText="1"/>
    </xf>
    <xf numFmtId="1" fontId="15" fillId="4" borderId="27" applyAlignment="1" pivotButton="0" quotePrefix="0" xfId="0">
      <alignment horizontal="center" vertical="center" wrapText="1"/>
    </xf>
  </cellXfs>
  <cellStyles count="5">
    <cellStyle name="Normal" xfId="0" builtinId="0"/>
    <cellStyle name="Comma 2" xfId="1"/>
    <cellStyle name="Comma 3" xfId="2"/>
    <cellStyle name="Comma 2 2" xfId="3"/>
    <cellStyle name="Comma 2 10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69850</colOff>
      <row>1</row>
      <rowOff>152400</rowOff>
    </from>
    <to>
      <col>1</col>
      <colOff>28807</colOff>
      <row>1</row>
      <rowOff>688975</rowOff>
    </to>
    <pic>
      <nvPicPr>
        <cNvPr id="2" name="Picture 1" descr="CA_logo_icai_small2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9850" y="342900"/>
          <a:ext cx="759057" cy="5365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1360715</colOff>
      <row>44</row>
      <rowOff>171242</rowOff>
    </from>
    <to>
      <col>7</col>
      <colOff>1582602</colOff>
      <row>50</row>
      <rowOff>38100</rowOff>
    </to>
    <pic>
      <nvPicPr>
        <cNvPr id="4" name="image3.jpe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651501" y="8934242"/>
          <a:ext cx="1818458" cy="95542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tabSelected="1" topLeftCell="A4" zoomScale="115" zoomScaleNormal="115" workbookViewId="0">
      <selection activeCell="F11" sqref="F11:H11"/>
    </sheetView>
  </sheetViews>
  <sheetFormatPr baseColWidth="8" defaultRowHeight="14.5"/>
  <cols>
    <col width="11.453125" customWidth="1" style="65" min="1" max="1"/>
    <col width="8.36328125" customWidth="1" style="65" min="2" max="2"/>
    <col width="9.7265625" customWidth="1" style="65" min="3" max="3"/>
    <col width="14.7265625" customWidth="1" style="65" min="5" max="5"/>
    <col width="8.54296875" customWidth="1" style="65" min="6" max="6"/>
    <col width="22.90625" customWidth="1" style="65" min="7" max="7"/>
    <col width="25.90625" customWidth="1" style="65" min="8" max="8"/>
  </cols>
  <sheetData>
    <row r="1"/>
    <row r="2" ht="66.5" customHeight="1" s="65">
      <c r="A2" s="53" t="inlineStr">
        <is>
          <t xml:space="preserve">  ABNJ &amp; Co</t>
        </is>
      </c>
      <c r="B2" s="75" t="n"/>
      <c r="C2" s="75" t="n"/>
      <c r="D2" s="75" t="n"/>
      <c r="E2" s="76" t="n"/>
      <c r="F2" s="52" t="inlineStr">
        <is>
          <t>C.A. Ashish Kanodia, F.C.A, DISA (ICAI).             Cell:  9322426322
C.A. Brij.G.Kalla, B.Com, F.C.A.                             Cell: 9167245281
C.A. Nilesh Mundada A.C.A.                                 Cell: 9820736037
C.A. Jay J. Dedhia, A.C.A, C.S.                               Cell: 9987066652</t>
        </is>
      </c>
      <c r="G2" s="75" t="n"/>
      <c r="H2" s="76" t="n"/>
    </row>
    <row r="3">
      <c r="A3" s="51" t="inlineStr">
        <is>
          <t>Add:- 1106, Sureshwari Techno IT Park, Eskay Resort, Borivali West Mumbai- 400092</t>
        </is>
      </c>
      <c r="B3" s="75" t="n"/>
      <c r="C3" s="75" t="n"/>
      <c r="D3" s="75" t="n"/>
      <c r="E3" s="75" t="n"/>
      <c r="F3" s="75" t="n"/>
      <c r="G3" s="75" t="n"/>
      <c r="H3" s="76" t="n"/>
    </row>
    <row r="4">
      <c r="A4" s="32" t="n"/>
      <c r="B4" s="49" t="n"/>
      <c r="C4" s="49" t="n"/>
      <c r="D4" s="49" t="n"/>
      <c r="E4" s="49" t="n"/>
      <c r="F4" s="49" t="n"/>
      <c r="G4" s="49" t="n"/>
      <c r="H4" s="50" t="n"/>
    </row>
    <row r="5" ht="15.5" customHeight="1" s="65">
      <c r="A5" s="77" t="inlineStr">
        <is>
          <t>Chartered Accountants</t>
        </is>
      </c>
      <c r="H5" s="11" t="n"/>
    </row>
    <row r="6">
      <c r="A6" s="78" t="inlineStr">
        <is>
          <t>Original For Recepient</t>
        </is>
      </c>
      <c r="B6" s="9" t="n"/>
      <c r="C6" s="9" t="n"/>
      <c r="D6" s="9" t="n"/>
      <c r="E6" s="9" t="n"/>
      <c r="F6" s="9" t="n"/>
      <c r="G6" s="9" t="n"/>
      <c r="H6" s="12" t="n"/>
    </row>
    <row r="7">
      <c r="A7" s="79" t="inlineStr">
        <is>
          <t>HDFC Bank Ltd</t>
        </is>
      </c>
      <c r="E7" s="11" t="n"/>
      <c r="F7" s="25" t="inlineStr">
        <is>
          <t>Bill No:</t>
        </is>
      </c>
      <c r="G7" s="25" t="n"/>
      <c r="H7" s="45" t="n"/>
    </row>
    <row r="8">
      <c r="A8" s="80" t="inlineStr">
        <is>
          <t>1st Floor, HDFC Bank, Zenith House,</t>
        </is>
      </c>
      <c r="E8" s="11" t="n"/>
      <c r="F8" s="81" t="inlineStr">
        <is>
          <t>PAN: AASFA0439K</t>
        </is>
      </c>
      <c r="H8" s="11" t="n"/>
    </row>
    <row r="9">
      <c r="A9" s="82" t="inlineStr">
        <is>
          <t>Opposite Race Course, Keshavrao Khadye Marg,</t>
        </is>
      </c>
      <c r="E9" s="11" t="n"/>
      <c r="F9" s="83" t="n"/>
      <c r="H9" s="11" t="n"/>
    </row>
    <row r="10">
      <c r="A10" s="82" t="inlineStr">
        <is>
          <t>Arya Nagar, Mahalakshmi,Mumbai 400034</t>
        </is>
      </c>
      <c r="E10" s="11" t="n"/>
      <c r="F10" s="83" t="n"/>
      <c r="H10" s="11" t="n"/>
    </row>
    <row r="11">
      <c r="A11" s="14" t="inlineStr">
        <is>
          <t xml:space="preserve">GST NO: </t>
        </is>
      </c>
      <c r="B11" s="16" t="inlineStr">
        <is>
          <t>27AAACH2702H1Z0</t>
        </is>
      </c>
      <c r="E11" s="11" t="n"/>
      <c r="F11" s="83" t="n"/>
      <c r="H11" s="11" t="n"/>
    </row>
    <row r="12">
      <c r="A12" s="73" t="inlineStr">
        <is>
          <t xml:space="preserve">PAN:   </t>
        </is>
      </c>
      <c r="B12" s="74" t="inlineStr">
        <is>
          <t>AAACH2702H</t>
        </is>
      </c>
      <c r="E12" s="11" t="n"/>
      <c r="F12" s="70" t="inlineStr">
        <is>
          <t xml:space="preserve">Bill Date : </t>
        </is>
      </c>
      <c r="G12" t="inlineStr">
        <is>
          <t>28-02-2026</t>
        </is>
      </c>
      <c r="H12" s="11" t="n"/>
    </row>
    <row r="13" s="65">
      <c r="A13" s="14" t="inlineStr">
        <is>
          <t xml:space="preserve">Kind Attn: </t>
        </is>
      </c>
      <c r="B13" s="16" t="inlineStr">
        <is>
          <t>Mr. Pramod Pai</t>
        </is>
      </c>
      <c r="E13" s="11" t="n"/>
      <c r="F13" s="70" t="inlineStr">
        <is>
          <t>Due Date:</t>
        </is>
      </c>
      <c r="G13" t="inlineStr">
        <is>
          <t>03-03-2026</t>
        </is>
      </c>
      <c r="H13" s="11" t="n"/>
    </row>
    <row r="14" s="65">
      <c r="A14" s="16" t="n"/>
      <c r="B14" s="16" t="n"/>
      <c r="E14" s="11" t="n"/>
      <c r="F14" s="84" t="inlineStr">
        <is>
          <t>SAC Code:  998224 (Other Similar Services n.e.c)</t>
        </is>
      </c>
      <c r="H14" s="11" t="n"/>
    </row>
    <row r="15">
      <c r="E15" s="12" t="n"/>
      <c r="F15" s="84" t="inlineStr">
        <is>
          <t>Place of Service: Lower Parel, Mumbai</t>
        </is>
      </c>
      <c r="H15" s="11" t="n"/>
    </row>
    <row r="16">
      <c r="A16" s="18" t="n"/>
      <c r="B16" s="75" t="n"/>
      <c r="C16" s="75" t="n"/>
      <c r="D16" s="75" t="n"/>
      <c r="E16" s="75" t="n"/>
      <c r="F16" s="75" t="n"/>
      <c r="G16" s="75" t="n"/>
      <c r="H16" s="76" t="n"/>
    </row>
    <row r="17">
      <c r="A17" s="40" t="inlineStr">
        <is>
          <t>Invoice for support to bank for automation and others, for the period: 01 Feb 2026 to 28 Feb 2026</t>
        </is>
      </c>
      <c r="H17" s="41" t="n">
        <v>114557</v>
      </c>
    </row>
    <row r="18">
      <c r="A18" s="67" t="n"/>
      <c r="H18" s="85" t="n"/>
    </row>
    <row r="19">
      <c r="A19" s="67" t="n"/>
      <c r="H19" s="85" t="n"/>
    </row>
    <row r="20">
      <c r="A20" s="67" t="n"/>
      <c r="H20" s="86" t="n"/>
    </row>
    <row r="21" ht="15.5" customHeight="1" s="65">
      <c r="A21" s="34" t="inlineStr">
        <is>
          <t>Add : CGST @ 9%</t>
        </is>
      </c>
      <c r="B21" s="75" t="n"/>
      <c r="C21" s="75" t="n"/>
      <c r="D21" s="75" t="n"/>
      <c r="E21" s="75" t="n"/>
      <c r="F21" s="75" t="n"/>
      <c r="G21" s="76" t="n"/>
      <c r="H21" s="87" t="n">
        <v>10311</v>
      </c>
    </row>
    <row r="22" ht="15.5" customHeight="1" s="65">
      <c r="A22" s="34" t="inlineStr">
        <is>
          <t>Add : SGST @ 9%</t>
        </is>
      </c>
      <c r="B22" s="75" t="n"/>
      <c r="C22" s="75" t="n"/>
      <c r="D22" s="75" t="n"/>
      <c r="E22" s="75" t="n"/>
      <c r="F22" s="75" t="n"/>
      <c r="G22" s="76" t="n"/>
      <c r="H22" s="87" t="n">
        <v>10311</v>
      </c>
    </row>
    <row r="23">
      <c r="G23" s="22" t="n"/>
      <c r="H23" s="88" t="n">
        <v>135179</v>
      </c>
    </row>
    <row r="24" ht="14.5" customHeight="1" s="65">
      <c r="A24" s="38" t="inlineStr">
        <is>
          <t>Rupees:</t>
        </is>
      </c>
      <c r="B24" s="39" t="inlineStr">
        <is>
          <t>One Lakh, Thirty-Five Thousand, One Hundred And Seventy-Nine Only</t>
        </is>
      </c>
      <c r="G24" s="11" t="n"/>
      <c r="H24" s="11" t="n"/>
    </row>
    <row r="25" ht="15.5" customHeight="1" s="65">
      <c r="A25" s="9" t="n"/>
      <c r="B25" s="9" t="n"/>
      <c r="C25" s="9" t="n"/>
      <c r="D25" s="9" t="n"/>
      <c r="E25" s="9" t="n"/>
      <c r="F25" s="9" t="n"/>
      <c r="G25" s="12" t="n"/>
      <c r="H25" s="12" t="n"/>
    </row>
    <row r="26" ht="14.5" customHeight="1" s="65">
      <c r="H26" s="22" t="n"/>
    </row>
    <row r="27">
      <c r="H27" s="11" t="n"/>
    </row>
    <row r="28">
      <c r="H28" s="11" t="n"/>
    </row>
    <row r="29">
      <c r="H29" s="11" t="n"/>
    </row>
    <row r="30">
      <c r="H30" s="11" t="n"/>
    </row>
    <row r="31" ht="15" customHeight="1" s="65" thickBot="1">
      <c r="H31" s="11" t="n"/>
    </row>
    <row r="32" ht="15" customHeight="1" s="65" thickBot="1">
      <c r="A32" s="89" t="inlineStr">
        <is>
          <t>Bank Details:</t>
        </is>
      </c>
      <c r="B32" s="90" t="n"/>
      <c r="C32" s="91" t="n"/>
      <c r="H32" s="11" t="n"/>
    </row>
    <row r="33">
      <c r="A33" s="67" t="inlineStr">
        <is>
          <t>Name:</t>
        </is>
      </c>
      <c r="B33" s="58" t="inlineStr">
        <is>
          <t>ABNJ &amp; Co.</t>
        </is>
      </c>
      <c r="C33" s="92" t="n"/>
      <c r="H33" s="11" t="n"/>
    </row>
    <row r="34">
      <c r="A34" s="67" t="inlineStr">
        <is>
          <t>Bank Name:</t>
        </is>
      </c>
      <c r="B34" s="58" t="inlineStr">
        <is>
          <t>HDFC BANK</t>
        </is>
      </c>
      <c r="C34" s="92" t="n"/>
      <c r="H34" s="11" t="n"/>
    </row>
    <row r="35">
      <c r="A35" s="67" t="inlineStr">
        <is>
          <t>A/c No.:</t>
        </is>
      </c>
      <c r="B35" s="93" t="inlineStr">
        <is>
          <t>09977630000701</t>
        </is>
      </c>
      <c r="C35" s="92" t="n"/>
      <c r="H35" s="11" t="n"/>
    </row>
    <row r="36">
      <c r="A36" s="67" t="inlineStr">
        <is>
          <t>IFSC Code:</t>
        </is>
      </c>
      <c r="B36" s="58" t="inlineStr">
        <is>
          <t>HDFC0000997</t>
        </is>
      </c>
      <c r="C36" s="92" t="n"/>
      <c r="H36" s="11" t="n"/>
    </row>
    <row r="37" ht="15" customHeight="1" s="65" thickBot="1">
      <c r="A37" s="66" t="inlineStr">
        <is>
          <t>MICR No:</t>
        </is>
      </c>
      <c r="B37" s="55" t="n">
        <v>400240100</v>
      </c>
      <c r="C37" s="94" t="n"/>
      <c r="H37" s="11" t="n"/>
    </row>
    <row r="38">
      <c r="H38" s="11" t="n"/>
    </row>
    <row r="39">
      <c r="H39" s="11" t="n"/>
    </row>
    <row r="40">
      <c r="H40" s="11" t="n"/>
    </row>
    <row r="41">
      <c r="H41" s="11" t="n"/>
    </row>
    <row r="42">
      <c r="H42" s="11" t="n"/>
    </row>
    <row r="43" ht="15.5" customHeight="1" s="65">
      <c r="H43" s="36" t="inlineStr">
        <is>
          <t>For ABNJ &amp; Co.</t>
        </is>
      </c>
    </row>
    <row r="44">
      <c r="H44" s="11" t="n"/>
    </row>
    <row r="45">
      <c r="H45" s="11" t="n"/>
    </row>
    <row r="46">
      <c r="H46" s="11" t="n"/>
    </row>
    <row r="47">
      <c r="H47" s="11" t="n"/>
    </row>
    <row r="48">
      <c r="H48" s="11" t="n"/>
    </row>
    <row r="49">
      <c r="H49" s="11" t="n"/>
    </row>
    <row r="50">
      <c r="H50" s="11" t="n"/>
    </row>
    <row r="51">
      <c r="H51" s="63" t="inlineStr">
        <is>
          <t>Authorized Signatory</t>
        </is>
      </c>
    </row>
    <row r="52">
      <c r="H52" s="11" t="n"/>
    </row>
    <row r="53">
      <c r="H53" s="11" t="n"/>
    </row>
    <row r="54">
      <c r="H54" s="11" t="n"/>
    </row>
    <row r="55">
      <c r="H55" s="11" t="n"/>
    </row>
    <row r="56">
      <c r="H56" s="11" t="n"/>
    </row>
    <row r="57">
      <c r="H57" s="11" t="n"/>
    </row>
    <row r="58" ht="15.5" customHeight="1" s="65">
      <c r="A58" s="68" t="inlineStr">
        <is>
          <t>●    Early Remittance is Solicited.</t>
        </is>
      </c>
      <c r="H58" s="11" t="n"/>
    </row>
    <row r="59" ht="15.5" customHeight="1" s="65">
      <c r="A59" s="69" t="inlineStr">
        <is>
          <t xml:space="preserve">  ●   GST No.27AASFA0439K3Z4 ;  SAC Code – 998224;Category: Accounting , Auditing And Bookkeeping Services </t>
        </is>
      </c>
      <c r="H59" s="11" t="n"/>
    </row>
    <row r="60" ht="15.5" customHeight="1" s="65">
      <c r="A60" s="69" t="inlineStr">
        <is>
          <t>Sub Category : Other similar Services n.e.c.</t>
        </is>
      </c>
      <c r="H60" s="11" t="n"/>
    </row>
    <row r="61">
      <c r="A61" s="9" t="n"/>
      <c r="B61" s="9" t="n"/>
      <c r="C61" s="9" t="n"/>
      <c r="D61" s="9" t="n"/>
      <c r="E61" s="9" t="n"/>
      <c r="F61" s="9" t="n"/>
      <c r="G61" s="9" t="n"/>
      <c r="H61" s="12" t="n"/>
    </row>
  </sheetData>
  <mergeCells count="27">
    <mergeCell ref="A22:G22"/>
    <mergeCell ref="F8:H8"/>
    <mergeCell ref="F2:H2"/>
    <mergeCell ref="A6:H6"/>
    <mergeCell ref="A32:C32"/>
    <mergeCell ref="A7:E7"/>
    <mergeCell ref="A16:H16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5:H5"/>
    <mergeCell ref="A8:E8"/>
    <mergeCell ref="F11:H11"/>
    <mergeCell ref="F10:H10"/>
    <mergeCell ref="B33:C33"/>
    <mergeCell ref="A21:G21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style="65" min="1" max="1"/>
    <col width="18" customWidth="1" style="65" min="2" max="2"/>
    <col width="18" customWidth="1" style="65" min="3" max="3"/>
    <col width="18" customWidth="1" style="65" min="4" max="4"/>
    <col width="18" customWidth="1" style="65" min="5" max="5"/>
    <col width="18" customWidth="1" style="65" min="6" max="6"/>
    <col width="18" customWidth="1" style="65" min="7" max="7"/>
    <col width="18" customWidth="1" style="65" min="8" max="8"/>
    <col width="18" customWidth="1" style="65" min="9" max="9"/>
    <col width="18" customWidth="1" style="65" min="10" max="10"/>
    <col width="18" customWidth="1" style="65" min="11" max="11"/>
    <col width="18" customWidth="1" style="65" min="12" max="12"/>
    <col width="18" customWidth="1" style="65" min="13" max="13"/>
    <col width="18" customWidth="1" style="65" min="14" max="14"/>
    <col width="18" customWidth="1" style="65" min="15" max="15"/>
    <col width="18" customWidth="1" style="65" min="16" max="16"/>
    <col width="18" customWidth="1" style="65" min="17" max="17"/>
    <col width="18" customWidth="1" style="65" min="18" max="18"/>
    <col width="18" customWidth="1" style="65" min="19" max="19"/>
    <col width="18" customWidth="1" style="65" min="20" max="20"/>
    <col width="18" customWidth="1" style="65" min="21" max="21"/>
    <col width="18" customWidth="1" style="65" min="22" max="22"/>
    <col width="18" customWidth="1" style="65" min="23" max="23"/>
  </cols>
  <sheetData>
    <row r="1" ht="30" customHeight="1" s="65">
      <c r="A1" s="95" t="inlineStr">
        <is>
          <t>Kind Attention Person</t>
        </is>
      </c>
      <c r="B1" s="95" t="inlineStr">
        <is>
          <t>Employee Code</t>
        </is>
      </c>
      <c r="C1" s="95" t="inlineStr">
        <is>
          <t>Employee Name</t>
        </is>
      </c>
      <c r="D1" s="95" t="inlineStr">
        <is>
          <t>Billing</t>
        </is>
      </c>
      <c r="E1" s="95" t="inlineStr">
        <is>
          <t>No of days</t>
        </is>
      </c>
      <c r="F1" s="95" t="inlineStr">
        <is>
          <t>Eligible Days</t>
        </is>
      </c>
      <c r="G1" s="95" t="inlineStr">
        <is>
          <t>No of Saturdays</t>
        </is>
      </c>
      <c r="H1" s="95" t="inlineStr">
        <is>
          <t>No of Sundays</t>
        </is>
      </c>
      <c r="I1" s="95" t="inlineStr">
        <is>
          <t>No of Holidays</t>
        </is>
      </c>
      <c r="J1" s="95" t="inlineStr">
        <is>
          <t>Total Present</t>
        </is>
      </c>
      <c r="K1" s="95" t="inlineStr">
        <is>
          <t>Total Working Days</t>
        </is>
      </c>
      <c r="L1" s="95" t="inlineStr">
        <is>
          <t>Absents this Month</t>
        </is>
      </c>
      <c r="M1" s="95" t="inlineStr">
        <is>
          <t>Adjustment of Days</t>
        </is>
      </c>
      <c r="N1" s="95" t="inlineStr">
        <is>
          <t>Total Payable Days</t>
        </is>
      </c>
      <c r="O1" s="95" t="inlineStr">
        <is>
          <t>Total Payable Billing</t>
        </is>
      </c>
      <c r="P1" s="95" t="inlineStr">
        <is>
          <t>Charges</t>
        </is>
      </c>
      <c r="Q1" s="95" t="inlineStr">
        <is>
          <t>Out of Pocket Exp</t>
        </is>
      </c>
      <c r="R1" s="95" t="inlineStr">
        <is>
          <t>Arrears</t>
        </is>
      </c>
      <c r="S1" s="95" t="inlineStr">
        <is>
          <t>Total</t>
        </is>
      </c>
      <c r="T1" s="95" t="inlineStr">
        <is>
          <t>CGST @9%</t>
        </is>
      </c>
      <c r="U1" s="95" t="inlineStr">
        <is>
          <t>SGST @9%</t>
        </is>
      </c>
      <c r="V1" s="95" t="inlineStr">
        <is>
          <t>Grand Total</t>
        </is>
      </c>
      <c r="W1" s="95" t="inlineStr">
        <is>
          <t>Remark</t>
        </is>
      </c>
    </row>
    <row r="2">
      <c r="A2" s="96" t="inlineStr">
        <is>
          <t>Pramod Pai</t>
        </is>
      </c>
      <c r="B2" s="96" t="inlineStr">
        <is>
          <t>AB10081</t>
        </is>
      </c>
      <c r="C2" s="96" t="inlineStr">
        <is>
          <t>AAKASH BOHARA</t>
        </is>
      </c>
      <c r="D2" s="97" t="n">
        <v>106920</v>
      </c>
      <c r="E2" s="97" t="n">
        <v>28</v>
      </c>
      <c r="F2" s="97" t="n">
        <v>28</v>
      </c>
      <c r="G2" s="97" t="n">
        <v>4</v>
      </c>
      <c r="H2" s="97" t="n">
        <v>4</v>
      </c>
      <c r="I2" s="97" t="n">
        <v>1</v>
      </c>
      <c r="J2" s="97" t="n">
        <v>19</v>
      </c>
      <c r="K2" s="97" t="n">
        <v>28</v>
      </c>
      <c r="L2" s="97" t="n">
        <v>2</v>
      </c>
      <c r="M2" s="97" t="n">
        <v>2</v>
      </c>
      <c r="N2" s="97" t="n">
        <v>30</v>
      </c>
      <c r="O2" s="97" t="n">
        <v>114557.14</v>
      </c>
      <c r="P2" s="97" t="n">
        <v>0</v>
      </c>
      <c r="Q2" s="97" t="n">
        <v>0</v>
      </c>
      <c r="R2" s="97" t="n">
        <v>0</v>
      </c>
      <c r="S2" s="97" t="n">
        <v>114557.14</v>
      </c>
      <c r="T2" s="97" t="n">
        <v>10310.14</v>
      </c>
      <c r="U2" s="97" t="n">
        <v>10310.14</v>
      </c>
      <c r="V2" s="97" t="n">
        <v>135177.43</v>
      </c>
      <c r="W2" s="96" t="n">
        <v/>
      </c>
    </row>
    <row r="3">
      <c r="A3" s="98" t="inlineStr">
        <is>
          <t>TOTAL</t>
        </is>
      </c>
      <c r="B3" s="98" t="n"/>
      <c r="C3" s="98" t="n"/>
      <c r="D3" s="99">
        <f>ROUND(SUM(D2:D2), 0)</f>
        <v/>
      </c>
      <c r="E3" s="99">
        <f>ROUND(SUM(E2:E2), 0)</f>
        <v/>
      </c>
      <c r="F3" s="99">
        <f>ROUND(SUM(F2:F2), 0)</f>
        <v/>
      </c>
      <c r="G3" s="99">
        <f>ROUND(SUM(G2:G2), 0)</f>
        <v/>
      </c>
      <c r="H3" s="99">
        <f>ROUND(SUM(H2:H2), 0)</f>
        <v/>
      </c>
      <c r="I3" s="99">
        <f>ROUND(SUM(I2:I2), 0)</f>
        <v/>
      </c>
      <c r="J3" s="99">
        <f>ROUND(SUM(J2:J2), 0)</f>
        <v/>
      </c>
      <c r="K3" s="99">
        <f>ROUND(SUM(K2:K2), 0)</f>
        <v/>
      </c>
      <c r="L3" s="99">
        <f>ROUND(SUM(L2:L2), 0)</f>
        <v/>
      </c>
      <c r="M3" s="99">
        <f>ROUND(SUM(M2:M2), 0)</f>
        <v/>
      </c>
      <c r="N3" s="99">
        <f>ROUND(SUM(N2:N2), 0)</f>
        <v/>
      </c>
      <c r="O3" s="99">
        <f>ROUND(SUM(O2:O2), 0)</f>
        <v/>
      </c>
      <c r="P3" s="99">
        <f>ROUND(SUM(P2:P2), 0)</f>
        <v/>
      </c>
      <c r="Q3" s="99">
        <f>ROUND(SUM(Q2:Q2), 0)</f>
        <v/>
      </c>
      <c r="R3" s="99">
        <f>ROUND(SUM(R2:R2), 0)</f>
        <v/>
      </c>
      <c r="S3" s="99">
        <f>ROUND(SUM(S2:S2), 0)</f>
        <v/>
      </c>
      <c r="T3" s="99">
        <f>CEILING(SUM(T2:T2), 1)</f>
        <v/>
      </c>
      <c r="U3" s="99">
        <f>CEILING(SUM(U2:U2), 1)</f>
        <v/>
      </c>
      <c r="V3" s="99">
        <f>ROUND(SUM(S3,T3,U3), 0)</f>
        <v/>
      </c>
      <c r="W3" s="98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Maheshwari</dc:creator>
  <dcterms:created xsi:type="dcterms:W3CDTF">2026-02-28T09:46:26Z</dcterms:created>
  <dcterms:modified xsi:type="dcterms:W3CDTF">2026-02-28T13:17:57Z</dcterms:modified>
  <cp:lastModifiedBy>Kanishk Maheshwari</cp:lastModifiedBy>
</cp:coreProperties>
</file>