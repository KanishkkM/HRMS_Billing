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Abhishek Sharma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3" applyAlignment="1" pivotButton="0" quotePrefix="0" xfId="0">
      <alignment horizontal="left" wrapText="1"/>
    </xf>
    <xf numFmtId="0" fontId="0" fillId="0" borderId="10" pivotButton="0" quotePrefix="0" xfId="0"/>
    <xf numFmtId="0" fontId="8" fillId="0" borderId="24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/>
    </xf>
    <xf numFmtId="0" fontId="8" fillId="0" borderId="24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26" zoomScale="99" zoomScaleNormal="99" workbookViewId="0">
      <selection activeCell="B24" sqref="B24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35" t="inlineStr">
        <is>
          <t>Jobuss Resources Pvt Ltd.</t>
        </is>
      </c>
      <c r="B2" s="7" t="n"/>
      <c r="C2" s="7" t="n"/>
      <c r="D2" s="7" t="n"/>
      <c r="E2" s="7" t="n"/>
      <c r="F2" s="38" t="n"/>
      <c r="G2" s="7" t="n"/>
      <c r="H2" s="8" t="n"/>
    </row>
    <row r="3" ht="17.4" customHeight="1" thickBot="1">
      <c r="A3" s="83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4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23" t="inlineStr">
        <is>
          <t xml:space="preserve">Bill No. : </t>
        </is>
      </c>
      <c r="G7" s="24" t="n"/>
      <c r="H7" s="25" t="n"/>
    </row>
    <row r="8">
      <c r="A8" s="89" t="inlineStr">
        <is>
          <t xml:space="preserve"> Reliance Corporate Park, 5 TTC Industrial area,</t>
        </is>
      </c>
      <c r="E8" s="90" t="n"/>
      <c r="F8" s="91" t="inlineStr">
        <is>
          <t>PAN: AAECJ2353C</t>
        </is>
      </c>
      <c r="H8" s="17" t="n"/>
    </row>
    <row r="9">
      <c r="A9" s="92" t="inlineStr">
        <is>
          <t>Thane Belapur Road, Ghansoli,</t>
        </is>
      </c>
      <c r="E9" s="90" t="n"/>
      <c r="F9" s="91" t="inlineStr">
        <is>
          <t>GST No:  27AAECJ2353C1ZX</t>
        </is>
      </c>
      <c r="H9" s="17" t="n"/>
      <c r="I9" s="4" t="n"/>
    </row>
    <row r="10">
      <c r="A10" s="92" t="inlineStr">
        <is>
          <t>Navi Mumbai-400701.</t>
        </is>
      </c>
      <c r="E10" s="90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27AAACR5055K1Z7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 </t>
        </is>
      </c>
      <c r="B12" s="27" t="inlineStr">
        <is>
          <t xml:space="preserve">AAACR5055K </t>
        </is>
      </c>
      <c r="C12" s="27" t="n"/>
      <c r="D12" s="27" t="n"/>
      <c r="E12" s="28" t="n"/>
      <c r="F12" s="55" t="inlineStr">
        <is>
          <t>Bill Date:</t>
        </is>
      </c>
      <c r="G12" s="56" t="inlineStr">
        <is>
          <t>28-02-2026</t>
        </is>
      </c>
      <c r="H12" s="57" t="n"/>
    </row>
    <row r="13">
      <c r="A13" s="26" t="inlineStr">
        <is>
          <t xml:space="preserve">Kind Attn: </t>
        </is>
      </c>
      <c r="B13" s="27" t="inlineStr">
        <is>
          <t>Mr. Abhishek Sharma</t>
        </is>
      </c>
      <c r="C13" s="27" t="n"/>
      <c r="D13" s="27" t="n"/>
      <c r="E13" s="28" t="n"/>
      <c r="F13" s="55" t="inlineStr">
        <is>
          <t>Due Date:</t>
        </is>
      </c>
      <c r="G13" s="56" t="inlineStr">
        <is>
          <t>03-03-2026</t>
        </is>
      </c>
      <c r="H13" s="57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0" t="n"/>
      <c r="F15" s="93" t="inlineStr">
        <is>
          <t>Place of Service: Navi Mumbai</t>
        </is>
      </c>
      <c r="H15" s="17" t="n"/>
      <c r="I15" s="5" t="n"/>
      <c r="K15" s="94" t="n"/>
    </row>
    <row r="16" ht="15" customHeight="1" thickBot="1">
      <c r="A16" s="75" t="n"/>
      <c r="B16" s="7" t="n"/>
      <c r="C16" s="7" t="n"/>
      <c r="D16" s="7" t="n"/>
      <c r="E16" s="8" t="n"/>
      <c r="F16" s="75" t="inlineStr">
        <is>
          <t xml:space="preserve">Vendor Code: </t>
        </is>
      </c>
      <c r="G16" s="10" t="n">
        <v>3347687</v>
      </c>
      <c r="H16" s="8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25750</v>
      </c>
    </row>
    <row r="18">
      <c r="A18" s="12" t="n"/>
      <c r="G18" s="17" t="n"/>
      <c r="H18" s="99" t="n"/>
    </row>
    <row r="19">
      <c r="A19" s="12" t="n"/>
      <c r="G19" s="17" t="n"/>
      <c r="H19" s="99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0" t="n"/>
    </row>
    <row r="21" ht="18" customHeight="1" thickBot="1">
      <c r="A21" s="73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8" t="n">
        <v>2318</v>
      </c>
    </row>
    <row r="22" ht="15.75" customHeight="1" thickBot="1">
      <c r="A22" s="73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8" t="n">
        <v>2318</v>
      </c>
    </row>
    <row r="23" ht="15" customHeight="1">
      <c r="A23" s="12" t="n"/>
      <c r="H23" s="98" t="n">
        <v>30385</v>
      </c>
    </row>
    <row r="24" ht="16.5" customHeight="1">
      <c r="A24" s="13" t="inlineStr">
        <is>
          <t>Rupees:</t>
        </is>
      </c>
      <c r="B24" s="14" t="inlineStr">
        <is>
          <t>Thirty Thousand, Three Hundred And Eighty-Five Only</t>
        </is>
      </c>
      <c r="H24" s="99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0" t="n"/>
    </row>
    <row r="26" ht="15" customHeight="1" thickTop="1">
      <c r="A26" s="12" t="n"/>
      <c r="H26" s="17" t="n"/>
    </row>
    <row r="27">
      <c r="A27" s="12" t="n"/>
      <c r="H27" s="17" t="n"/>
    </row>
    <row r="28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1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78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78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2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78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3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6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6" customHeight="1">
      <c r="A53" s="12" t="n"/>
      <c r="G53" s="14" t="inlineStr">
        <is>
          <t xml:space="preserve">            Authorized Signatory</t>
        </is>
      </c>
      <c r="H53" s="17" t="n"/>
    </row>
    <row r="54" ht="15.6" customHeight="1">
      <c r="A54" s="12" t="n"/>
      <c r="G54" s="14" t="n"/>
      <c r="H54" s="17" t="n"/>
    </row>
    <row r="55" ht="15.6" customHeight="1">
      <c r="A55" s="12" t="n"/>
      <c r="G55" s="14" t="n"/>
      <c r="H55" s="17" t="n"/>
    </row>
    <row r="56" ht="15.6" customHeight="1">
      <c r="A56" s="12" t="n"/>
      <c r="G56" s="14" t="n"/>
      <c r="H56" s="17" t="n"/>
    </row>
    <row r="57" ht="15.6" customHeight="1">
      <c r="A57" s="12" t="n"/>
      <c r="G57" s="14" t="n"/>
      <c r="H57" s="17" t="n"/>
    </row>
    <row r="58">
      <c r="A58" s="12" t="n"/>
      <c r="H58" s="17" t="n"/>
    </row>
    <row r="59" ht="15.6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4" t="inlineStr">
        <is>
          <t xml:space="preserve">  ●   GST No  27AAECJ2353C1ZX &amp; SAC Code  998513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A8:E8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  <c r="X1" s="105" t="inlineStr">
        <is>
          <t>IGST @18%</t>
        </is>
      </c>
    </row>
    <row r="2">
      <c r="A2" s="106" t="inlineStr">
        <is>
          <t>Abhishek Sharma</t>
        </is>
      </c>
      <c r="B2" s="106" t="inlineStr">
        <is>
          <t>JB-10267</t>
        </is>
      </c>
      <c r="C2" s="106" t="inlineStr">
        <is>
          <t>PARIMAL DHANRAJ BORADE</t>
        </is>
      </c>
      <c r="D2" s="106" t="n">
        <v>87500</v>
      </c>
      <c r="E2" s="106" t="n">
        <v>28</v>
      </c>
      <c r="F2" s="106" t="n">
        <v>28</v>
      </c>
      <c r="G2" s="106" t="n">
        <v>4</v>
      </c>
      <c r="H2" s="106" t="n">
        <v>4</v>
      </c>
      <c r="I2" s="106" t="n">
        <v>0</v>
      </c>
      <c r="J2" s="106" t="n">
        <v>0</v>
      </c>
      <c r="K2" s="106" t="n">
        <v>8</v>
      </c>
      <c r="L2" s="106" t="n">
        <v>0</v>
      </c>
      <c r="M2" s="106" t="n">
        <v>0</v>
      </c>
      <c r="N2" s="106" t="n">
        <v>8</v>
      </c>
      <c r="O2" s="106" t="n">
        <v>25000</v>
      </c>
      <c r="P2" s="106" t="n">
        <v>750</v>
      </c>
      <c r="Q2" s="106" t="n">
        <v>0</v>
      </c>
      <c r="R2" s="106" t="n">
        <v>0</v>
      </c>
      <c r="S2" s="106" t="n">
        <v>25750</v>
      </c>
      <c r="T2" s="106" t="n">
        <v>30385</v>
      </c>
      <c r="U2" s="106" t="n">
        <v/>
      </c>
      <c r="V2" s="106" t="n">
        <v>2317.5</v>
      </c>
      <c r="W2" s="106" t="n">
        <v>2317.5</v>
      </c>
      <c r="X2" s="106" t="n">
        <v/>
      </c>
    </row>
    <row r="3">
      <c r="A3" s="107" t="inlineStr">
        <is>
          <t>TOTAL</t>
        </is>
      </c>
      <c r="B3" s="107" t="n"/>
      <c r="C3" s="107" t="n"/>
      <c r="D3" s="107">
        <f>ROUND(SUM(D2:D2), 0)</f>
        <v/>
      </c>
      <c r="E3" s="107">
        <f>ROUND(SUM(E2:E2), 0)</f>
        <v/>
      </c>
      <c r="F3" s="107">
        <f>ROUND(SUM(F2:F2), 0)</f>
        <v/>
      </c>
      <c r="G3" s="107">
        <f>ROUND(SUM(G2:G2), 0)</f>
        <v/>
      </c>
      <c r="H3" s="107">
        <f>ROUND(SUM(H2:H2), 0)</f>
        <v/>
      </c>
      <c r="I3" s="107">
        <f>ROUND(SUM(I2:I2), 0)</f>
        <v/>
      </c>
      <c r="J3" s="107">
        <f>ROUND(SUM(J2:J2), 0)</f>
        <v/>
      </c>
      <c r="K3" s="107">
        <f>ROUND(SUM(K2:K2), 0)</f>
        <v/>
      </c>
      <c r="L3" s="107">
        <f>ROUND(SUM(L2:L2), 0)</f>
        <v/>
      </c>
      <c r="M3" s="107">
        <f>ROUND(SUM(M2:M2), 0)</f>
        <v/>
      </c>
      <c r="N3" s="107">
        <f>ROUND(SUM(N2:N2), 0)</f>
        <v/>
      </c>
      <c r="O3" s="107">
        <f>ROUND(SUM(O2:O2), 0)</f>
        <v/>
      </c>
      <c r="P3" s="107">
        <f>ROUND(SUM(P2:P2), 0)</f>
        <v/>
      </c>
      <c r="Q3" s="107">
        <f>ROUND(SUM(Q2:Q2), 0)</f>
        <v/>
      </c>
      <c r="R3" s="107">
        <f>ROUND(SUM(R2:R2), 0)</f>
        <v/>
      </c>
      <c r="S3" s="107">
        <f>ROUND(SUM(S2:S2), 0)</f>
        <v/>
      </c>
      <c r="T3" s="107">
        <f>ROUND(SUM(S3), 0)</f>
        <v/>
      </c>
      <c r="U3" s="107" t="n"/>
      <c r="V3" s="107">
        <f>CEILING(SUM(V2:V2), 1)</f>
        <v/>
      </c>
      <c r="W3" s="107">
        <f>CEILING(SUM(W2:W2), 1)</f>
        <v/>
      </c>
      <c r="X3" s="107">
        <f>ROUND(SUM(X2:X2),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2026-02-28T10:00:07Z</dcterms:modified>
  <cp:lastModifiedBy>Kanishk Maheshwari</cp:lastModifiedBy>
  <cp:lastPrinted>2026-02-09T11:42:21Z</cp:lastPrinted>
</cp:coreProperties>
</file>