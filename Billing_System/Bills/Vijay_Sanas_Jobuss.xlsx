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alet dias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6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5" pivotButton="0" quotePrefix="0" xfId="0"/>
    <xf numFmtId="0" fontId="10" fillId="0" borderId="0" pivotButton="0" quotePrefix="0" xfId="0"/>
    <xf numFmtId="0" fontId="2" fillId="0" borderId="4" pivotButton="0" quotePrefix="0" xfId="0"/>
    <xf numFmtId="0" fontId="2" fillId="0" borderId="0" applyAlignment="1" pivotButton="0" quotePrefix="0" xfId="0">
      <alignment horizontal="left"/>
    </xf>
    <xf numFmtId="0" fontId="0" fillId="0" borderId="5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11" fillId="0" borderId="1" pivotButton="0" quotePrefix="0" xfId="0"/>
    <xf numFmtId="0" fontId="11" fillId="0" borderId="2" pivotButton="0" quotePrefix="0" xfId="0"/>
    <xf numFmtId="0" fontId="11" fillId="0" borderId="3" pivotButton="0" quotePrefix="0" xfId="0"/>
    <xf numFmtId="0" fontId="0" fillId="0" borderId="3" pivotButton="0" quotePrefix="0" xfId="0"/>
    <xf numFmtId="164" fontId="14" fillId="0" borderId="18" applyAlignment="1" pivotButton="0" quotePrefix="0" xfId="1">
      <alignment horizontal="center" vertical="center"/>
    </xf>
    <xf numFmtId="164" fontId="14" fillId="0" borderId="19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14" fillId="0" borderId="4" applyAlignment="1" pivotButton="0" quotePrefix="0" xfId="0">
      <alignment horizontal="left" wrapText="1"/>
    </xf>
    <xf numFmtId="0" fontId="14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14" fillId="0" borderId="5" applyAlignment="1" pivotButton="0" quotePrefix="0" xfId="1">
      <alignment horizontal="center" vertical="center"/>
    </xf>
    <xf numFmtId="0" fontId="0" fillId="0" borderId="4" pivotButton="0" quotePrefix="0" xfId="0"/>
    <xf numFmtId="0" fontId="15" fillId="0" borderId="4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8" fillId="0" borderId="12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7" applyAlignment="1" pivotButton="0" quotePrefix="0" xfId="0">
      <alignment vertical="center"/>
    </xf>
    <xf numFmtId="0" fontId="14" fillId="0" borderId="0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5" fillId="0" borderId="4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5" applyAlignment="1" pivotButton="0" quotePrefix="1" xfId="0">
      <alignment horizontal="center"/>
    </xf>
    <xf numFmtId="1" fontId="0" fillId="0" borderId="16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4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12" fillId="0" borderId="6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164" fontId="13" fillId="0" borderId="13" applyAlignment="1" pivotButton="0" quotePrefix="0" xfId="1">
      <alignment horizontal="center" vertical="center"/>
    </xf>
    <xf numFmtId="164" fontId="13" fillId="0" borderId="17" applyAlignment="1" pivotButton="0" quotePrefix="0" xfId="1">
      <alignment horizontal="center" vertical="center"/>
    </xf>
    <xf numFmtId="0" fontId="14" fillId="0" borderId="18" applyAlignment="1" pivotButton="0" quotePrefix="0" xfId="0">
      <alignment horizontal="left"/>
    </xf>
    <xf numFmtId="164" fontId="14" fillId="0" borderId="20" applyAlignment="1" pivotButton="0" quotePrefix="0" xfId="1">
      <alignment horizontal="center" vertical="center"/>
    </xf>
    <xf numFmtId="164" fontId="14" fillId="0" borderId="13" applyAlignment="1" pivotButton="0" quotePrefix="0" xfId="1">
      <alignment horizontal="center" vertical="center"/>
    </xf>
    <xf numFmtId="164" fontId="14" fillId="0" borderId="21" applyAlignment="1" pivotButton="0" quotePrefix="0" xfId="1">
      <alignment horizontal="center" vertical="center"/>
    </xf>
    <xf numFmtId="0" fontId="7" fillId="0" borderId="8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2" pivotButton="0" quotePrefix="0" xfId="0"/>
    <xf numFmtId="0" fontId="5" fillId="2" borderId="23" applyAlignment="1" pivotButton="0" quotePrefix="0" xfId="0">
      <alignment horizontal="right"/>
    </xf>
    <xf numFmtId="0" fontId="6" fillId="0" borderId="23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7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/>
    </xf>
    <xf numFmtId="164" fontId="1" fillId="0" borderId="0" pivotButton="0" quotePrefix="0" xfId="1"/>
    <xf numFmtId="0" fontId="12" fillId="0" borderId="23" applyAlignment="1" pivotButton="0" quotePrefix="0" xfId="0">
      <alignment horizontal="left" vertical="center" wrapText="1"/>
    </xf>
    <xf numFmtId="164" fontId="13" fillId="0" borderId="17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0" fontId="0" fillId="0" borderId="24" pivotButton="0" quotePrefix="0" xfId="0"/>
    <xf numFmtId="0" fontId="0" fillId="0" borderId="25" pivotButton="0" quotePrefix="0" xfId="0"/>
    <xf numFmtId="164" fontId="14" fillId="0" borderId="18" applyAlignment="1" pivotButton="0" quotePrefix="0" xfId="1">
      <alignment horizontal="center" vertical="center"/>
    </xf>
    <xf numFmtId="164" fontId="14" fillId="0" borderId="19" applyAlignment="1" pivotButton="0" quotePrefix="0" xfId="1">
      <alignment horizontal="center" vertical="center"/>
    </xf>
    <xf numFmtId="164" fontId="14" fillId="0" borderId="26" applyAlignment="1" pivotButton="0" quotePrefix="0" xfId="1">
      <alignment horizontal="center" vertical="center"/>
    </xf>
    <xf numFmtId="0" fontId="0" fillId="0" borderId="21" pivotButton="0" quotePrefix="0" xfId="0"/>
    <xf numFmtId="164" fontId="14" fillId="0" borderId="5" applyAlignment="1" pivotButton="0" quotePrefix="0" xfId="1">
      <alignment horizontal="center" vertical="center"/>
    </xf>
    <xf numFmtId="0" fontId="2" fillId="0" borderId="23" pivotButton="0" quotePrefix="0" xfId="0"/>
    <xf numFmtId="1" fontId="0" fillId="0" borderId="5" applyAlignment="1" pivotButton="0" quotePrefix="1" xfId="0">
      <alignment horizontal="center"/>
    </xf>
    <xf numFmtId="1" fontId="0" fillId="0" borderId="16" applyAlignment="1" pivotButton="0" quotePrefix="1" xfId="0">
      <alignment horizontal="center"/>
    </xf>
    <xf numFmtId="0" fontId="15" fillId="0" borderId="13" applyAlignment="1" pivotButton="0" quotePrefix="0" xfId="0">
      <alignment horizontal="left" vertical="top" wrapText="1"/>
    </xf>
    <xf numFmtId="0" fontId="18" fillId="3" borderId="27" applyAlignment="1" pivotButton="0" quotePrefix="0" xfId="0">
      <alignment horizontal="center" vertical="center" wrapText="1"/>
    </xf>
    <xf numFmtId="0" fontId="0" fillId="0" borderId="27" pivotButton="0" quotePrefix="0" xfId="0"/>
    <xf numFmtId="0" fontId="18" fillId="4" borderId="27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148648</colOff>
      <row>45</row>
      <rowOff>28863</rowOff>
    </from>
    <to>
      <col>5</col>
      <colOff>226465</colOff>
      <row>52</row>
      <rowOff>47913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561319" y="9526649"/>
          <a:ext cx="1329675" cy="13144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1097395</colOff>
      <row>45</row>
      <rowOff>144029</rowOff>
    </from>
    <to>
      <col>7</col>
      <colOff>868796</colOff>
      <row>50</row>
      <rowOff>144030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376966" y="9641815"/>
          <a:ext cx="1420586" cy="92528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6"/>
  <sheetViews>
    <sheetView tabSelected="1" topLeftCell="A7" zoomScale="70" zoomScaleNormal="70" workbookViewId="0">
      <selection activeCell="A17" sqref="A17:G20"/>
    </sheetView>
  </sheetViews>
  <sheetFormatPr baseColWidth="8" defaultColWidth="9.33203125" defaultRowHeight="14.4"/>
  <cols>
    <col width="9.5546875" customWidth="1" min="1" max="1"/>
    <col width="10" customWidth="1" min="2" max="2"/>
    <col width="18.6640625" customWidth="1" min="3" max="3"/>
    <col width="10" customWidth="1" min="4" max="4"/>
    <col width="17.6640625" customWidth="1" min="5" max="5"/>
    <col width="12.6640625" bestFit="1" customWidth="1" min="6" max="6"/>
    <col width="23.33203125" customWidth="1" min="7" max="7"/>
    <col width="22.33203125" customWidth="1" min="8" max="8"/>
    <col width="10.6640625" bestFit="1" customWidth="1" min="11" max="11"/>
  </cols>
  <sheetData>
    <row r="1" ht="15" customHeight="1" thickBot="1"/>
    <row r="2" ht="89.25" customHeight="1" thickBot="1">
      <c r="A2" s="85" t="inlineStr">
        <is>
          <t>Jobuss Resources Pvt Ltd.</t>
        </is>
      </c>
      <c r="B2" s="99" t="n"/>
      <c r="C2" s="99" t="n"/>
      <c r="D2" s="99" t="n"/>
      <c r="E2" s="99" t="n"/>
      <c r="F2" s="88" t="n"/>
      <c r="G2" s="99" t="n"/>
      <c r="H2" s="22" t="n"/>
    </row>
    <row r="3" ht="17.4" customHeight="1" thickBot="1">
      <c r="A3" s="100" t="inlineStr">
        <is>
          <t>Private Limited</t>
        </is>
      </c>
      <c r="B3" s="99" t="n"/>
      <c r="C3" s="99" t="n"/>
      <c r="D3" s="99" t="n"/>
      <c r="E3" s="99" t="n"/>
      <c r="F3" s="99" t="n"/>
      <c r="G3" s="99" t="n"/>
      <c r="H3" s="22" t="n"/>
    </row>
    <row r="4" ht="15" customHeight="1" thickBot="1">
      <c r="A4" s="101" t="inlineStr">
        <is>
          <t>Add:- -1106, Sureshwari Techno IT Park, Eskay Resort, Borivali West Mumbai- 400092</t>
        </is>
      </c>
      <c r="B4" s="99" t="n"/>
      <c r="C4" s="99" t="n"/>
      <c r="D4" s="99" t="n"/>
      <c r="E4" s="99" t="n"/>
      <c r="F4" s="99" t="n"/>
      <c r="G4" s="99" t="n"/>
      <c r="H4" s="22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102" t="inlineStr">
        <is>
          <t>Original For Recepient</t>
        </is>
      </c>
      <c r="B6" s="99" t="n"/>
      <c r="C6" s="99" t="n"/>
      <c r="D6" s="99" t="n"/>
      <c r="E6" s="99" t="n"/>
      <c r="F6" s="99" t="n"/>
      <c r="G6" s="99" t="n"/>
      <c r="H6" s="22" t="n"/>
    </row>
    <row r="7" ht="15" customHeight="1" thickTop="1">
      <c r="A7" s="103" t="inlineStr">
        <is>
          <t>Reliance Industries Limited</t>
        </is>
      </c>
      <c r="B7" s="104" t="n"/>
      <c r="C7" s="104" t="n"/>
      <c r="D7" s="104" t="n"/>
      <c r="E7" s="105" t="n"/>
      <c r="F7" s="4" t="inlineStr">
        <is>
          <t xml:space="preserve">Bill No. : </t>
        </is>
      </c>
      <c r="G7" s="43" t="n"/>
      <c r="H7" s="5" t="n"/>
    </row>
    <row r="8">
      <c r="A8" s="106" t="inlineStr">
        <is>
          <t>Reliance Corporate Park, Bldg.No.TC22,</t>
        </is>
      </c>
      <c r="E8" s="16" t="n"/>
      <c r="F8" s="107" t="inlineStr">
        <is>
          <t>PAN: AAECJ2353C</t>
        </is>
      </c>
      <c r="H8" s="16" t="n"/>
    </row>
    <row r="9">
      <c r="A9" s="106" t="inlineStr">
        <is>
          <t>A Wing,2nd Floor,WS138</t>
        </is>
      </c>
      <c r="E9" s="16" t="n"/>
      <c r="F9" s="107" t="inlineStr">
        <is>
          <t>GST No:  27AAECJ2353C1ZX</t>
        </is>
      </c>
      <c r="H9" s="16" t="n"/>
      <c r="I9" s="8" t="n"/>
    </row>
    <row r="10">
      <c r="A10" s="106" t="inlineStr">
        <is>
          <t>Thane-Belapur Road, Ghansoli, Navi Mumbai 400701</t>
        </is>
      </c>
      <c r="E10" s="16" t="n"/>
      <c r="F10" s="107" t="inlineStr">
        <is>
          <t>PF No.- KDMAL1720777000</t>
        </is>
      </c>
      <c r="H10" s="16" t="n"/>
      <c r="I10" s="8" t="n"/>
    </row>
    <row r="11">
      <c r="A11" s="9" t="inlineStr">
        <is>
          <t>GST NO:</t>
        </is>
      </c>
      <c r="B11" s="10" t="inlineStr">
        <is>
          <t>27AAACR5055K1Z7</t>
        </is>
      </c>
      <c r="C11" s="11" t="n"/>
      <c r="D11" s="11" t="n"/>
      <c r="E11" s="12" t="n"/>
      <c r="F11" s="107" t="inlineStr">
        <is>
          <t>ESIC No.- 35000427980001001</t>
        </is>
      </c>
      <c r="H11" s="16" t="n"/>
      <c r="I11" s="8" t="n"/>
    </row>
    <row r="12">
      <c r="A12" s="9" t="inlineStr">
        <is>
          <t xml:space="preserve">PAN:  </t>
        </is>
      </c>
      <c r="B12" s="13" t="inlineStr">
        <is>
          <t>AAACR5055K</t>
        </is>
      </c>
      <c r="C12" s="11" t="n"/>
      <c r="D12" s="11" t="n"/>
      <c r="E12" s="12" t="n"/>
      <c r="F12" s="37" t="inlineStr">
        <is>
          <t xml:space="preserve">Bill Date :  </t>
        </is>
      </c>
      <c r="G12" s="38" t="inlineStr">
        <is>
          <t>28-02-2026</t>
        </is>
      </c>
      <c r="H12" s="39" t="n"/>
    </row>
    <row r="13">
      <c r="A13" s="9" t="inlineStr">
        <is>
          <t>Kind Attn:</t>
        </is>
      </c>
      <c r="B13" s="11" t="inlineStr">
        <is>
          <t xml:space="preserve"> Ms. Shalet Dias</t>
        </is>
      </c>
      <c r="C13" s="11" t="n"/>
      <c r="D13" s="11" t="n"/>
      <c r="E13" s="12" t="n"/>
      <c r="F13" s="42" t="inlineStr">
        <is>
          <t xml:space="preserve">Due Date: </t>
        </is>
      </c>
      <c r="G13" s="59" t="inlineStr">
        <is>
          <t>03-03-2026</t>
        </is>
      </c>
      <c r="H13" s="60" t="n"/>
    </row>
    <row r="14">
      <c r="A14" s="61" t="inlineStr">
        <is>
          <t>Place of Service: Navi Mumbai</t>
        </is>
      </c>
      <c r="D14" s="65" t="n"/>
      <c r="E14" s="66" t="n"/>
      <c r="F14" s="108" t="inlineStr">
        <is>
          <t>SAC Code:  998513 (Contract Staffing Services)</t>
        </is>
      </c>
      <c r="H14" s="16" t="n"/>
    </row>
    <row r="15" ht="15" customHeight="1" thickBot="1">
      <c r="A15" s="106" t="n"/>
      <c r="E15" s="16" t="n"/>
      <c r="F15" s="14" t="inlineStr">
        <is>
          <t xml:space="preserve">Vendor Code: </t>
        </is>
      </c>
      <c r="G15" s="15" t="n">
        <v>3347687</v>
      </c>
      <c r="H15" s="16" t="n"/>
      <c r="I15" s="17" t="n"/>
      <c r="K15" s="109" t="n"/>
    </row>
    <row r="16" ht="18.6" customHeight="1" thickBot="1">
      <c r="A16" s="19" t="inlineStr">
        <is>
          <t>WO- I80/630307405</t>
        </is>
      </c>
      <c r="B16" s="20" t="n"/>
      <c r="C16" s="20" t="n"/>
      <c r="D16" s="20" t="n"/>
      <c r="E16" s="21" t="n"/>
      <c r="F16" s="55" t="n"/>
      <c r="G16" s="99" t="n"/>
      <c r="H16" s="22" t="n"/>
    </row>
    <row r="17">
      <c r="A17" s="110" t="inlineStr">
        <is>
          <t>Contract staffing services for Assistance in Various Department Period: 01 Feb 2026 to 28 Feb 2026</t>
        </is>
      </c>
      <c r="B17" s="26" t="n"/>
      <c r="C17" s="26" t="n"/>
      <c r="D17" s="26" t="n"/>
      <c r="E17" s="26" t="n"/>
      <c r="F17" s="26" t="n"/>
      <c r="G17" s="27" t="n"/>
      <c r="H17" s="111" t="n">
        <v>68792</v>
      </c>
    </row>
    <row r="18">
      <c r="A18" s="34" t="n"/>
      <c r="G18" s="16" t="n"/>
      <c r="H18" s="112" t="n"/>
    </row>
    <row r="19">
      <c r="A19" s="34" t="n"/>
      <c r="G19" s="16" t="n"/>
      <c r="H19" s="112" t="n"/>
    </row>
    <row r="20" ht="15" customHeight="1" thickBot="1">
      <c r="A20" s="30" t="n"/>
      <c r="B20" s="31" t="n"/>
      <c r="C20" s="31" t="n"/>
      <c r="D20" s="31" t="n"/>
      <c r="E20" s="31" t="n"/>
      <c r="F20" s="31" t="n"/>
      <c r="G20" s="32" t="n"/>
      <c r="H20" s="113" t="n"/>
    </row>
    <row r="21" ht="15.6" customHeight="1">
      <c r="A21" s="78" t="inlineStr">
        <is>
          <t>Add : CGST @ 9%</t>
        </is>
      </c>
      <c r="B21" s="114" t="n"/>
      <c r="C21" s="114" t="n"/>
      <c r="D21" s="114" t="n"/>
      <c r="E21" s="114" t="n"/>
      <c r="F21" s="114" t="n"/>
      <c r="G21" s="115" t="n"/>
      <c r="H21" s="116" t="n">
        <v>6191</v>
      </c>
    </row>
    <row r="22" ht="16.2" customHeight="1" thickBot="1">
      <c r="A22" s="78" t="inlineStr">
        <is>
          <t>Add : SGST @ 9%</t>
        </is>
      </c>
      <c r="B22" s="114" t="n"/>
      <c r="C22" s="114" t="n"/>
      <c r="D22" s="114" t="n"/>
      <c r="E22" s="114" t="n"/>
      <c r="F22" s="114" t="n"/>
      <c r="G22" s="115" t="n"/>
      <c r="H22" s="117" t="n">
        <v>6191</v>
      </c>
    </row>
    <row r="23">
      <c r="A23" s="25" t="n"/>
      <c r="B23" s="26" t="n"/>
      <c r="C23" s="26" t="n"/>
      <c r="D23" s="26" t="n"/>
      <c r="E23" s="26" t="n"/>
      <c r="F23" s="26" t="n"/>
      <c r="G23" s="27" t="n"/>
      <c r="H23" s="118" t="n">
        <v>81174</v>
      </c>
    </row>
    <row r="24" ht="15.6" customHeight="1">
      <c r="A24" s="28" t="inlineStr">
        <is>
          <t>Rupees:</t>
        </is>
      </c>
      <c r="B24" s="29" t="inlineStr">
        <is>
          <t>Eighty-One Thousand, One Hundred And Seventy-Four Only</t>
        </is>
      </c>
      <c r="G24" s="16" t="n"/>
      <c r="H24" s="112" t="n"/>
    </row>
    <row r="25" ht="15" customHeight="1" thickBot="1">
      <c r="A25" s="30" t="n"/>
      <c r="B25" s="31" t="n"/>
      <c r="C25" s="31" t="n"/>
      <c r="D25" s="31" t="n"/>
      <c r="E25" s="31" t="n"/>
      <c r="F25" s="31" t="n"/>
      <c r="G25" s="32" t="n"/>
      <c r="H25" s="119" t="n"/>
    </row>
    <row r="26" ht="15.6" customHeight="1">
      <c r="A26" s="28" t="n"/>
      <c r="B26" s="29" t="n"/>
      <c r="H26" s="120" t="n"/>
    </row>
    <row r="27">
      <c r="A27" s="34" t="n"/>
      <c r="H27" s="16" t="n"/>
    </row>
    <row r="28">
      <c r="A28" s="34" t="n"/>
      <c r="H28" s="16" t="n"/>
    </row>
    <row r="29">
      <c r="A29" s="34" t="n"/>
      <c r="H29" s="16" t="n"/>
    </row>
    <row r="30">
      <c r="A30" s="34" t="n"/>
      <c r="H30" s="16" t="n"/>
    </row>
    <row r="31">
      <c r="A31" s="34" t="n"/>
      <c r="H31" s="16" t="n"/>
    </row>
    <row r="32" ht="15" customHeight="1" thickBot="1">
      <c r="A32" s="34" t="n"/>
      <c r="H32" s="16" t="n"/>
    </row>
    <row r="33" ht="15" customHeight="1" thickBot="1">
      <c r="A33" s="121" t="inlineStr">
        <is>
          <t>Bank Details:</t>
        </is>
      </c>
      <c r="B33" s="99" t="n"/>
      <c r="C33" s="22" t="n"/>
      <c r="H33" s="16" t="n"/>
    </row>
    <row r="34">
      <c r="A34" s="34" t="inlineStr">
        <is>
          <t>Name:</t>
        </is>
      </c>
      <c r="B34" s="50" t="inlineStr">
        <is>
          <t>Jobuss Resources Pvt. Ltd.</t>
        </is>
      </c>
      <c r="C34" s="16" t="n"/>
      <c r="H34" s="16" t="n"/>
    </row>
    <row r="35">
      <c r="A35" s="34" t="inlineStr">
        <is>
          <t>Bank Name:</t>
        </is>
      </c>
      <c r="B35" s="50" t="inlineStr">
        <is>
          <t>ICICI Bank</t>
        </is>
      </c>
      <c r="C35" s="16" t="n"/>
      <c r="H35" s="16" t="n"/>
    </row>
    <row r="36">
      <c r="A36" s="34" t="inlineStr">
        <is>
          <t>A/c No.:</t>
        </is>
      </c>
      <c r="B36" s="122" t="inlineStr">
        <is>
          <t>120905000960</t>
        </is>
      </c>
      <c r="C36" s="16" t="n"/>
      <c r="H36" s="16" t="n"/>
    </row>
    <row r="37">
      <c r="A37" s="34" t="inlineStr">
        <is>
          <t>IFSC Code:</t>
        </is>
      </c>
      <c r="B37" s="50" t="inlineStr">
        <is>
          <t>ICIC0001209</t>
        </is>
      </c>
      <c r="C37" s="16" t="n"/>
      <c r="H37" s="16" t="n"/>
    </row>
    <row r="38" ht="15" customHeight="1" thickBot="1">
      <c r="A38" s="30" t="inlineStr">
        <is>
          <t>MICR No:</t>
        </is>
      </c>
      <c r="B38" s="123" t="inlineStr">
        <is>
          <t>400229195</t>
        </is>
      </c>
      <c r="C38" s="32" t="n"/>
      <c r="H38" s="16" t="n"/>
    </row>
    <row r="39">
      <c r="A39" s="34" t="n"/>
      <c r="H39" s="16" t="n"/>
    </row>
    <row r="40">
      <c r="A40" s="34" t="n"/>
      <c r="H40" s="16" t="n"/>
    </row>
    <row r="41">
      <c r="A41" s="34" t="n"/>
      <c r="H41" s="16" t="n"/>
    </row>
    <row r="42">
      <c r="A42" s="34" t="n"/>
      <c r="H42" s="16" t="n"/>
    </row>
    <row r="43">
      <c r="A43" s="34" t="n"/>
      <c r="H43" s="16" t="n"/>
    </row>
    <row r="44">
      <c r="A44" s="34" t="n"/>
      <c r="H44" s="16" t="n"/>
    </row>
    <row r="45" ht="15.6" customHeight="1">
      <c r="A45" s="34" t="n"/>
      <c r="G45" s="45" t="inlineStr">
        <is>
          <t xml:space="preserve">    For Jobuss Resources Pvt. Ltd.</t>
        </is>
      </c>
      <c r="H45" s="16" t="n"/>
    </row>
    <row r="46">
      <c r="A46" s="34" t="n"/>
      <c r="H46" s="16" t="n"/>
    </row>
    <row r="47">
      <c r="A47" s="34" t="n"/>
      <c r="H47" s="16" t="n"/>
    </row>
    <row r="48">
      <c r="A48" s="34" t="n"/>
      <c r="H48" s="16" t="n"/>
    </row>
    <row r="49">
      <c r="A49" s="34" t="n"/>
      <c r="H49" s="16" t="n"/>
    </row>
    <row r="50">
      <c r="A50" s="34" t="n"/>
      <c r="H50" s="16" t="n"/>
    </row>
    <row r="51">
      <c r="A51" s="34" t="n"/>
      <c r="H51" s="16" t="n"/>
    </row>
    <row r="52">
      <c r="A52" s="34" t="n"/>
      <c r="H52" s="16" t="n"/>
    </row>
    <row r="53" ht="15.6" customHeight="1">
      <c r="A53" s="34" t="n"/>
      <c r="G53" s="45" t="inlineStr">
        <is>
          <t xml:space="preserve">            Authorized Signatory</t>
        </is>
      </c>
      <c r="H53" s="16" t="n"/>
    </row>
    <row r="54" ht="15.6" customHeight="1">
      <c r="A54" s="34" t="n"/>
      <c r="G54" s="29" t="n"/>
      <c r="H54" s="16" t="n"/>
    </row>
    <row r="55" ht="15.6" customHeight="1">
      <c r="A55" s="34" t="n"/>
      <c r="G55" s="29" t="n"/>
      <c r="H55" s="16" t="n"/>
    </row>
    <row r="56" ht="15.6" customHeight="1">
      <c r="A56" s="34" t="n"/>
      <c r="G56" s="29" t="n"/>
      <c r="H56" s="16" t="n"/>
    </row>
    <row r="57" ht="15.6" customHeight="1">
      <c r="A57" s="34" t="n"/>
      <c r="G57" s="29" t="n"/>
      <c r="H57" s="16" t="n"/>
    </row>
    <row r="58" ht="15.6" customHeight="1">
      <c r="A58" s="34" t="n"/>
      <c r="G58" s="29" t="n"/>
      <c r="H58" s="16" t="n"/>
    </row>
    <row r="59" ht="15.6" customHeight="1">
      <c r="A59" s="34" t="n"/>
      <c r="G59" s="29" t="n"/>
      <c r="H59" s="16" t="n"/>
    </row>
    <row r="60" ht="15.6" customHeight="1">
      <c r="A60" s="34" t="n"/>
      <c r="G60" s="29" t="n"/>
      <c r="H60" s="16" t="n"/>
    </row>
    <row r="61" ht="15.6" customHeight="1">
      <c r="A61" s="34" t="n"/>
      <c r="G61" s="29" t="n"/>
      <c r="H61" s="16" t="n"/>
    </row>
    <row r="62">
      <c r="A62" s="34" t="n"/>
      <c r="H62" s="16" t="n"/>
    </row>
    <row r="63" ht="15.6" customHeight="1">
      <c r="A63" s="35" t="inlineStr">
        <is>
          <t>●   Early Remittance is Solicited.</t>
        </is>
      </c>
      <c r="B63" s="36" t="n"/>
      <c r="H63" s="16" t="n"/>
    </row>
    <row r="64">
      <c r="A64" s="124" t="inlineStr">
        <is>
          <t xml:space="preserve">  ●   GST No 27AAECJ2353C1ZX &amp; SAC Code 998513 Category: Employment Services including personnel search/referral service &amp; Labour Supply Service. Sub Category: Contract Staffing Services.</t>
        </is>
      </c>
      <c r="H64" s="16" t="n"/>
    </row>
    <row r="65">
      <c r="A65" s="34" t="n"/>
      <c r="H65" s="16" t="n"/>
    </row>
    <row r="66" ht="15" customHeight="1" thickBot="1">
      <c r="A66" s="30" t="n"/>
      <c r="B66" s="31" t="n"/>
      <c r="C66" s="31" t="n"/>
      <c r="D66" s="31" t="n"/>
      <c r="E66" s="31" t="n"/>
      <c r="F66" s="31" t="n"/>
      <c r="G66" s="31" t="n"/>
      <c r="H66" s="32" t="n"/>
    </row>
  </sheetData>
  <mergeCells count="31">
    <mergeCell ref="F16:G16"/>
    <mergeCell ref="A15:E15"/>
    <mergeCell ref="A22:G22"/>
    <mergeCell ref="F8:H8"/>
    <mergeCell ref="F2:H2"/>
    <mergeCell ref="A6:H6"/>
    <mergeCell ref="A33:C33"/>
    <mergeCell ref="A7:E7"/>
    <mergeCell ref="A14:C14"/>
    <mergeCell ref="H17:H20"/>
    <mergeCell ref="G53:H53"/>
    <mergeCell ref="F9:H9"/>
    <mergeCell ref="H23:H25"/>
    <mergeCell ref="A3:H3"/>
    <mergeCell ref="B38:C38"/>
    <mergeCell ref="F14:H14"/>
    <mergeCell ref="A2:E2"/>
    <mergeCell ref="A64:H65"/>
    <mergeCell ref="B34:C34"/>
    <mergeCell ref="B37:C37"/>
    <mergeCell ref="A17:G20"/>
    <mergeCell ref="G45:H45"/>
    <mergeCell ref="A8:E8"/>
    <mergeCell ref="F11:H11"/>
    <mergeCell ref="A4:H4"/>
    <mergeCell ref="F10:H10"/>
    <mergeCell ref="A10:E10"/>
    <mergeCell ref="A21:G21"/>
    <mergeCell ref="B36:C36"/>
    <mergeCell ref="B35:C35"/>
    <mergeCell ref="A9:E9"/>
  </mergeCells>
  <pageMargins left="0.7" right="0.7" top="0.75" bottom="0.75" header="0.3" footer="0.3"/>
  <pageSetup orientation="portrait" paperSize="9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25" t="inlineStr">
        <is>
          <t>Kind Attention Person</t>
        </is>
      </c>
      <c r="B1" s="125" t="inlineStr">
        <is>
          <t>Employee Code</t>
        </is>
      </c>
      <c r="C1" s="125" t="inlineStr">
        <is>
          <t>Employee Name</t>
        </is>
      </c>
      <c r="D1" s="125" t="inlineStr">
        <is>
          <t>Billing</t>
        </is>
      </c>
      <c r="E1" s="125" t="inlineStr">
        <is>
          <t>No of days</t>
        </is>
      </c>
      <c r="F1" s="125" t="inlineStr">
        <is>
          <t>Eligible Days</t>
        </is>
      </c>
      <c r="G1" s="125" t="inlineStr">
        <is>
          <t>No of Saturdays</t>
        </is>
      </c>
      <c r="H1" s="125" t="inlineStr">
        <is>
          <t>No of Sundays</t>
        </is>
      </c>
      <c r="I1" s="125" t="inlineStr">
        <is>
          <t>No of Holidays</t>
        </is>
      </c>
      <c r="J1" s="125" t="inlineStr">
        <is>
          <t>Total Present</t>
        </is>
      </c>
      <c r="K1" s="125" t="inlineStr">
        <is>
          <t>Total Working Days</t>
        </is>
      </c>
      <c r="L1" s="125" t="inlineStr">
        <is>
          <t>Absents this Month</t>
        </is>
      </c>
      <c r="M1" s="125" t="inlineStr">
        <is>
          <t>Adjustment of Days</t>
        </is>
      </c>
      <c r="N1" s="125" t="inlineStr">
        <is>
          <t>Total Payable Days</t>
        </is>
      </c>
      <c r="O1" s="125" t="inlineStr">
        <is>
          <t>Total Payable Billing</t>
        </is>
      </c>
      <c r="P1" s="125" t="inlineStr">
        <is>
          <t>Charges</t>
        </is>
      </c>
      <c r="Q1" s="125" t="inlineStr">
        <is>
          <t>Out of Pocket Exp</t>
        </is>
      </c>
      <c r="R1" s="125" t="inlineStr">
        <is>
          <t>Arrears</t>
        </is>
      </c>
      <c r="S1" s="125" t="inlineStr">
        <is>
          <t>Total</t>
        </is>
      </c>
      <c r="T1" s="125" t="inlineStr">
        <is>
          <t>Grand Total</t>
        </is>
      </c>
      <c r="U1" s="125" t="inlineStr">
        <is>
          <t>Remark</t>
        </is>
      </c>
      <c r="V1" s="125" t="inlineStr">
        <is>
          <t>CGST @9%</t>
        </is>
      </c>
      <c r="W1" s="125" t="inlineStr">
        <is>
          <t>SGST @9%</t>
        </is>
      </c>
    </row>
    <row r="2">
      <c r="A2" s="126" t="inlineStr">
        <is>
          <t>Vijay Sanas</t>
        </is>
      </c>
      <c r="B2" s="126" t="inlineStr">
        <is>
          <t>JB-10065</t>
        </is>
      </c>
      <c r="C2" s="126" t="inlineStr">
        <is>
          <t>VAIBHAV JAGDISH PATIL</t>
        </is>
      </c>
      <c r="D2" s="126" t="n">
        <v>27297</v>
      </c>
      <c r="E2" s="126" t="n">
        <v>28</v>
      </c>
      <c r="F2" s="126" t="n">
        <v>28</v>
      </c>
      <c r="G2" s="126" t="n">
        <v>4</v>
      </c>
      <c r="H2" s="126" t="n">
        <v>4</v>
      </c>
      <c r="I2" s="126" t="n">
        <v>2</v>
      </c>
      <c r="J2" s="126" t="n">
        <v>18</v>
      </c>
      <c r="K2" s="126" t="n">
        <v>28</v>
      </c>
      <c r="L2" s="126" t="n">
        <v>2</v>
      </c>
      <c r="M2" s="126" t="n">
        <v>2</v>
      </c>
      <c r="N2" s="126" t="n">
        <v>30</v>
      </c>
      <c r="O2" s="126" t="n">
        <v>29247</v>
      </c>
      <c r="P2" s="126" t="n">
        <v>3802</v>
      </c>
      <c r="Q2" s="126" t="n">
        <v>0</v>
      </c>
      <c r="R2" s="126" t="n">
        <v>0</v>
      </c>
      <c r="S2" s="126" t="n">
        <v>33049</v>
      </c>
      <c r="T2" s="126" t="n">
        <v>38998</v>
      </c>
      <c r="U2" s="126" t="n">
        <v/>
      </c>
      <c r="V2" s="126" t="n">
        <v>2974</v>
      </c>
      <c r="W2" s="126" t="n">
        <v>2974</v>
      </c>
    </row>
    <row r="3">
      <c r="A3" s="126" t="inlineStr">
        <is>
          <t>Vijay Sanas</t>
        </is>
      </c>
      <c r="B3" s="126" t="inlineStr">
        <is>
          <t>JB-10127</t>
        </is>
      </c>
      <c r="C3" s="126" t="inlineStr">
        <is>
          <t>SANDESH LAXMAN PAWAR</t>
        </is>
      </c>
      <c r="D3" s="126" t="n">
        <v>29522</v>
      </c>
      <c r="E3" s="126" t="n">
        <v>28</v>
      </c>
      <c r="F3" s="126" t="n">
        <v>28</v>
      </c>
      <c r="G3" s="126" t="n">
        <v>4</v>
      </c>
      <c r="H3" s="126" t="n">
        <v>4</v>
      </c>
      <c r="I3" s="126" t="n">
        <v>2</v>
      </c>
      <c r="J3" s="126" t="n">
        <v>20</v>
      </c>
      <c r="K3" s="126" t="n">
        <v>30</v>
      </c>
      <c r="L3" s="126" t="n">
        <v>0</v>
      </c>
      <c r="M3" s="126" t="n">
        <v>0</v>
      </c>
      <c r="N3" s="126" t="n">
        <v>30</v>
      </c>
      <c r="O3" s="126" t="n">
        <v>31631</v>
      </c>
      <c r="P3" s="126" t="n">
        <v>4112</v>
      </c>
      <c r="Q3" s="126" t="n">
        <v>0</v>
      </c>
      <c r="R3" s="126" t="n">
        <v>0</v>
      </c>
      <c r="S3" s="126" t="n">
        <v>35743</v>
      </c>
      <c r="T3" s="126" t="n">
        <v>42176</v>
      </c>
      <c r="U3" s="126" t="n">
        <v/>
      </c>
      <c r="V3" s="126" t="n">
        <v>3217</v>
      </c>
      <c r="W3" s="126" t="n">
        <v>3217</v>
      </c>
    </row>
    <row r="4">
      <c r="A4" s="127" t="inlineStr">
        <is>
          <t>TOTAL</t>
        </is>
      </c>
      <c r="B4" s="127" t="n"/>
      <c r="C4" s="127" t="n"/>
      <c r="D4" s="127">
        <f>ROUND(SUM(D2:D3), 0)</f>
        <v/>
      </c>
      <c r="E4" s="127">
        <f>ROUND(SUM(E2:E3), 0)</f>
        <v/>
      </c>
      <c r="F4" s="127">
        <f>ROUND(SUM(F2:F3), 0)</f>
        <v/>
      </c>
      <c r="G4" s="127">
        <f>ROUND(SUM(G2:G3), 0)</f>
        <v/>
      </c>
      <c r="H4" s="127">
        <f>ROUND(SUM(H2:H3), 0)</f>
        <v/>
      </c>
      <c r="I4" s="127">
        <f>ROUND(SUM(I2:I3), 0)</f>
        <v/>
      </c>
      <c r="J4" s="127">
        <f>ROUND(SUM(J2:J3), 0)</f>
        <v/>
      </c>
      <c r="K4" s="127">
        <f>ROUND(SUM(K2:K3), 0)</f>
        <v/>
      </c>
      <c r="L4" s="127">
        <f>ROUND(SUM(L2:L3), 0)</f>
        <v/>
      </c>
      <c r="M4" s="127">
        <f>ROUND(SUM(M2:M3), 0)</f>
        <v/>
      </c>
      <c r="N4" s="127">
        <f>ROUND(SUM(N2:N3), 0)</f>
        <v/>
      </c>
      <c r="O4" s="127">
        <f>ROUND(SUM(O2:O3), 0)</f>
        <v/>
      </c>
      <c r="P4" s="127">
        <f>ROUND(SUM(P2:P3), 0)</f>
        <v/>
      </c>
      <c r="Q4" s="127">
        <f>ROUND(SUM(Q2:Q3), 0)</f>
        <v/>
      </c>
      <c r="R4" s="127">
        <f>ROUND(SUM(R2:R3), 0)</f>
        <v/>
      </c>
      <c r="S4" s="127">
        <f>ROUND(SUM(S2:S3), 0)</f>
        <v/>
      </c>
      <c r="T4" s="127">
        <f>ROUND(SUM(S4,V4,W4), 0)</f>
        <v/>
      </c>
      <c r="U4" s="127" t="n"/>
      <c r="V4" s="127">
        <f>CEILING(SUM(V2:V3), 1)</f>
        <v/>
      </c>
      <c r="W4" s="127">
        <f>CEILING(SUM(W2:W3),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2026-01-21T07:36:43Z</dcterms:created>
  <dcterms:modified xsi:type="dcterms:W3CDTF">2026-02-28T12:36:49Z</dcterms:modified>
  <cp:lastModifiedBy>Kanishk Maheshwari</cp:lastModifiedBy>
  <cp:lastPrinted>2026-01-30T08:54:22Z</cp:lastPrinted>
</cp:coreProperties>
</file>