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Titan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4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571500</colOff>
      <row>43</row>
      <rowOff>95250</rowOff>
    </from>
    <to>
      <col>5</col>
      <colOff>205105</colOff>
      <row>50</row>
      <rowOff>114300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33725" y="9458325"/>
          <a:ext cx="1310005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857249</colOff>
      <row>46</row>
      <rowOff>38100</rowOff>
    </from>
    <to>
      <col>7</col>
      <colOff>530224</colOff>
      <row>50</row>
      <rowOff>69850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5972174" y="9982200"/>
          <a:ext cx="1263650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" workbookViewId="0">
      <selection activeCell="F12" sqref="F12"/>
    </sheetView>
  </sheetViews>
  <sheetFormatPr baseColWidth="8" defaultColWidth="9.109375" defaultRowHeight="14.4"/>
  <cols>
    <col width="9.5546875" customWidth="1" min="1" max="1"/>
    <col width="10" customWidth="1" min="2" max="2"/>
    <col width="18.88671875" customWidth="1" min="3" max="3"/>
    <col width="15" customWidth="1" min="4" max="4"/>
    <col width="10.109375" customWidth="1" min="5" max="5"/>
    <col width="13.109375" customWidth="1" min="6" max="6"/>
    <col width="23.88671875" customWidth="1" min="7" max="7"/>
    <col width="19.88671875" customWidth="1" min="8" max="8"/>
  </cols>
  <sheetData>
    <row r="1" ht="15" customHeight="1" thickBot="1"/>
    <row r="2" ht="89.25" customHeight="1" thickBot="1">
      <c r="A2" s="68" t="inlineStr">
        <is>
          <t>Jobuss Resources Pvt Ltd.</t>
        </is>
      </c>
      <c r="B2" s="13" t="n"/>
      <c r="C2" s="13" t="n"/>
      <c r="D2" s="13" t="n"/>
      <c r="E2" s="13" t="n"/>
      <c r="F2" s="71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Titan Company Ltd.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81" t="n"/>
      <c r="H7" s="5" t="n"/>
    </row>
    <row r="8">
      <c r="A8" s="94" t="inlineStr">
        <is>
          <t>Equinox Business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3rd Floor, Tower-3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LBS Marg, Ambedkar Nagar, Kurla west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94" t="inlineStr">
        <is>
          <t>Mumbai-400070</t>
        </is>
      </c>
      <c r="E11" s="95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GST NO: </t>
        </is>
      </c>
      <c r="B12" s="8" t="inlineStr">
        <is>
          <t>27AAACT5131A1ZX</t>
        </is>
      </c>
      <c r="C12" s="8" t="n"/>
      <c r="D12" s="8" t="n"/>
      <c r="E12" s="9" t="n"/>
      <c r="F12" s="82" t="inlineStr">
        <is>
          <t xml:space="preserve">Bill Date : </t>
        </is>
      </c>
      <c r="G12" s="83" t="inlineStr">
        <is>
          <t>28-02-2026</t>
        </is>
      </c>
      <c r="H12" s="84" t="n"/>
    </row>
    <row r="13">
      <c r="A13" s="7" t="inlineStr">
        <is>
          <t xml:space="preserve">PAN:  </t>
        </is>
      </c>
      <c r="B13" s="8" t="inlineStr">
        <is>
          <t>AABCD7169H</t>
        </is>
      </c>
      <c r="C13" s="8" t="n"/>
      <c r="D13" s="8" t="n"/>
      <c r="E13" s="9" t="n"/>
      <c r="F13" s="85" t="inlineStr">
        <is>
          <t>Due Date:</t>
        </is>
      </c>
      <c r="G13" s="86" t="inlineStr">
        <is>
          <t>03-03-2026</t>
        </is>
      </c>
      <c r="H13" s="87" t="n"/>
    </row>
    <row r="14">
      <c r="A14" s="7" t="inlineStr">
        <is>
          <t xml:space="preserve">Kind Attn: </t>
        </is>
      </c>
      <c r="B14" s="8" t="inlineStr">
        <is>
          <t>Mr. Sagar Thumma</t>
        </is>
      </c>
      <c r="C14" s="8" t="n"/>
      <c r="D14" s="8" t="n"/>
      <c r="E14" s="9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1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Contract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166214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64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14960</v>
      </c>
    </row>
    <row r="22" ht="15.75" customHeight="1" thickBot="1">
      <c r="A22" s="64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14960</v>
      </c>
    </row>
    <row r="23" ht="15" customHeight="1">
      <c r="A23" s="18" t="n"/>
      <c r="H23" s="102" t="n">
        <v>196134</v>
      </c>
    </row>
    <row r="24" ht="16.5" customHeight="1">
      <c r="A24" s="19" t="inlineStr">
        <is>
          <t>Rupees:</t>
        </is>
      </c>
      <c r="B24" s="20" t="inlineStr">
        <is>
          <t>One Lakh, Ninety-Six Thousand, One Hundred And Thirty-Four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35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35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35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paperSize="9" scale="7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9" t="inlineStr">
        <is>
          <t>Kind Attention Person</t>
        </is>
      </c>
      <c r="B1" s="109" t="inlineStr">
        <is>
          <t>Employee Code</t>
        </is>
      </c>
      <c r="C1" s="109" t="inlineStr">
        <is>
          <t>Employee Name</t>
        </is>
      </c>
      <c r="D1" s="109" t="inlineStr">
        <is>
          <t>Billing</t>
        </is>
      </c>
      <c r="E1" s="109" t="inlineStr">
        <is>
          <t>No of days</t>
        </is>
      </c>
      <c r="F1" s="109" t="inlineStr">
        <is>
          <t>Eligible Days</t>
        </is>
      </c>
      <c r="G1" s="109" t="inlineStr">
        <is>
          <t>No of Saturdays</t>
        </is>
      </c>
      <c r="H1" s="109" t="inlineStr">
        <is>
          <t>No of Sundays</t>
        </is>
      </c>
      <c r="I1" s="109" t="inlineStr">
        <is>
          <t>No of Holidays</t>
        </is>
      </c>
      <c r="J1" s="109" t="inlineStr">
        <is>
          <t>Total Present</t>
        </is>
      </c>
      <c r="K1" s="109" t="inlineStr">
        <is>
          <t>Total Working Days</t>
        </is>
      </c>
      <c r="L1" s="109" t="inlineStr">
        <is>
          <t>Absents this Month</t>
        </is>
      </c>
      <c r="M1" s="109" t="inlineStr">
        <is>
          <t>Adjustment of Days</t>
        </is>
      </c>
      <c r="N1" s="109" t="inlineStr">
        <is>
          <t>Total Payable Days</t>
        </is>
      </c>
      <c r="O1" s="109" t="inlineStr">
        <is>
          <t>Total Payable Billing</t>
        </is>
      </c>
      <c r="P1" s="109" t="inlineStr">
        <is>
          <t>Charges</t>
        </is>
      </c>
      <c r="Q1" s="109" t="inlineStr">
        <is>
          <t>Out of Pocket Exp</t>
        </is>
      </c>
      <c r="R1" s="109" t="inlineStr">
        <is>
          <t>Arrears</t>
        </is>
      </c>
      <c r="S1" s="109" t="inlineStr">
        <is>
          <t>Total</t>
        </is>
      </c>
      <c r="T1" s="109" t="inlineStr">
        <is>
          <t>CGST @9%</t>
        </is>
      </c>
      <c r="U1" s="109" t="inlineStr">
        <is>
          <t>SGST @9%</t>
        </is>
      </c>
      <c r="V1" s="109" t="inlineStr">
        <is>
          <t>Grand Total</t>
        </is>
      </c>
      <c r="W1" s="109" t="inlineStr">
        <is>
          <t>Remark</t>
        </is>
      </c>
    </row>
    <row r="2">
      <c r="A2" s="110" t="inlineStr">
        <is>
          <t>Sagar Thumma</t>
        </is>
      </c>
      <c r="B2" s="110" t="inlineStr">
        <is>
          <t>AB10061</t>
        </is>
      </c>
      <c r="C2" s="110" t="inlineStr">
        <is>
          <t>VISMAYA SURESH NAIR</t>
        </is>
      </c>
      <c r="D2" s="111" t="n">
        <v>22000</v>
      </c>
      <c r="E2" s="111" t="n">
        <v>28</v>
      </c>
      <c r="F2" s="111" t="n">
        <v>28</v>
      </c>
      <c r="G2" s="111" t="n">
        <v>4</v>
      </c>
      <c r="H2" s="111" t="n">
        <v>4</v>
      </c>
      <c r="I2" s="111" t="n">
        <v>3</v>
      </c>
      <c r="J2" s="111" t="n">
        <v>17</v>
      </c>
      <c r="K2" s="111" t="n">
        <v>28</v>
      </c>
      <c r="L2" s="111" t="n">
        <v>2</v>
      </c>
      <c r="M2" s="111" t="n">
        <v>2</v>
      </c>
      <c r="N2" s="111" t="n">
        <v>30</v>
      </c>
      <c r="O2" s="111" t="n">
        <v>23571.43</v>
      </c>
      <c r="P2" s="111" t="n">
        <v>1500</v>
      </c>
      <c r="Q2" s="111" t="n">
        <v>0</v>
      </c>
      <c r="R2" s="111" t="n">
        <v>0</v>
      </c>
      <c r="S2" s="111" t="n">
        <v>25071.43</v>
      </c>
      <c r="T2" s="111" t="n">
        <v>2256.43</v>
      </c>
      <c r="U2" s="111" t="n">
        <v>2256.43</v>
      </c>
      <c r="V2" s="111" t="n">
        <v>29584.29</v>
      </c>
      <c r="W2" s="110" t="n">
        <v/>
      </c>
    </row>
    <row r="3">
      <c r="A3" s="110" t="inlineStr">
        <is>
          <t>Sagar Thumma</t>
        </is>
      </c>
      <c r="B3" s="110" t="inlineStr">
        <is>
          <t>AB10063</t>
        </is>
      </c>
      <c r="C3" s="110" t="inlineStr">
        <is>
          <t>RENUKA SHRIVASTAV</t>
        </is>
      </c>
      <c r="D3" s="111" t="n">
        <v>22000</v>
      </c>
      <c r="E3" s="111" t="n">
        <v>28</v>
      </c>
      <c r="F3" s="111" t="n">
        <v>28</v>
      </c>
      <c r="G3" s="111" t="n">
        <v>4</v>
      </c>
      <c r="H3" s="111" t="n">
        <v>4</v>
      </c>
      <c r="I3" s="111" t="n">
        <v>3</v>
      </c>
      <c r="J3" s="111" t="n">
        <v>16</v>
      </c>
      <c r="K3" s="111" t="n">
        <v>27</v>
      </c>
      <c r="L3" s="111" t="n">
        <v>3</v>
      </c>
      <c r="M3" s="111" t="n">
        <v>2</v>
      </c>
      <c r="N3" s="111" t="n">
        <v>29</v>
      </c>
      <c r="O3" s="111" t="n">
        <v>22785.71</v>
      </c>
      <c r="P3" s="111" t="n">
        <v>1500</v>
      </c>
      <c r="Q3" s="111" t="n">
        <v>0</v>
      </c>
      <c r="R3" s="111" t="n">
        <v>0</v>
      </c>
      <c r="S3" s="111" t="n">
        <v>24285.71</v>
      </c>
      <c r="T3" s="111" t="n">
        <v>2185.71</v>
      </c>
      <c r="U3" s="111" t="n">
        <v>2185.71</v>
      </c>
      <c r="V3" s="111" t="n">
        <v>28657.14</v>
      </c>
      <c r="W3" s="110" t="n">
        <v/>
      </c>
    </row>
    <row r="4">
      <c r="A4" s="110" t="inlineStr">
        <is>
          <t>Sagar Thumma</t>
        </is>
      </c>
      <c r="B4" s="110" t="inlineStr">
        <is>
          <t>AB10080</t>
        </is>
      </c>
      <c r="C4" s="110" t="inlineStr">
        <is>
          <t>NIKITA TAMBE</t>
        </is>
      </c>
      <c r="D4" s="111" t="n">
        <v>26200</v>
      </c>
      <c r="E4" s="111" t="n">
        <v>28</v>
      </c>
      <c r="F4" s="111" t="n">
        <v>28</v>
      </c>
      <c r="G4" s="111" t="n">
        <v>4</v>
      </c>
      <c r="H4" s="111" t="n">
        <v>4</v>
      </c>
      <c r="I4" s="111" t="n">
        <v>3</v>
      </c>
      <c r="J4" s="111" t="n">
        <v>19</v>
      </c>
      <c r="K4" s="111" t="n">
        <v>30</v>
      </c>
      <c r="L4" s="111" t="n">
        <v>0</v>
      </c>
      <c r="M4" s="111" t="n">
        <v>0</v>
      </c>
      <c r="N4" s="111" t="n">
        <v>30</v>
      </c>
      <c r="O4" s="111" t="n">
        <v>28071.43</v>
      </c>
      <c r="P4" s="111" t="n">
        <v>1500</v>
      </c>
      <c r="Q4" s="111" t="n">
        <v>0</v>
      </c>
      <c r="R4" s="111" t="n">
        <v>0</v>
      </c>
      <c r="S4" s="111" t="n">
        <v>29571.43</v>
      </c>
      <c r="T4" s="111" t="n">
        <v>2661.43</v>
      </c>
      <c r="U4" s="111" t="n">
        <v>2661.43</v>
      </c>
      <c r="V4" s="111" t="n">
        <v>34894.29</v>
      </c>
      <c r="W4" s="110" t="n">
        <v/>
      </c>
    </row>
    <row r="5">
      <c r="A5" s="110" t="inlineStr">
        <is>
          <t>Sagar Thumma</t>
        </is>
      </c>
      <c r="B5" s="110" t="inlineStr">
        <is>
          <t>AB10085</t>
        </is>
      </c>
      <c r="C5" s="110" t="inlineStr">
        <is>
          <t>AKASH DILIPKUMAR GUPTA</t>
        </is>
      </c>
      <c r="D5" s="111" t="n">
        <v>19200</v>
      </c>
      <c r="E5" s="111" t="n">
        <v>28</v>
      </c>
      <c r="F5" s="111" t="n">
        <v>28</v>
      </c>
      <c r="G5" s="111" t="n">
        <v>4</v>
      </c>
      <c r="H5" s="111" t="n">
        <v>4</v>
      </c>
      <c r="I5" s="111" t="n">
        <v>3</v>
      </c>
      <c r="J5" s="111" t="n">
        <v>18</v>
      </c>
      <c r="K5" s="111" t="n">
        <v>29</v>
      </c>
      <c r="L5" s="111" t="n">
        <v>1</v>
      </c>
      <c r="M5" s="111" t="n">
        <v>1</v>
      </c>
      <c r="N5" s="111" t="n">
        <v>30</v>
      </c>
      <c r="O5" s="111" t="n">
        <v>20571.43</v>
      </c>
      <c r="P5" s="111" t="n">
        <v>1500</v>
      </c>
      <c r="Q5" s="111" t="n">
        <v>0</v>
      </c>
      <c r="R5" s="111" t="n">
        <v>0</v>
      </c>
      <c r="S5" s="111" t="n">
        <v>22071.43</v>
      </c>
      <c r="T5" s="111" t="n">
        <v>1986.43</v>
      </c>
      <c r="U5" s="111" t="n">
        <v>1986.43</v>
      </c>
      <c r="V5" s="111" t="n">
        <v>26044.29</v>
      </c>
      <c r="W5" s="110" t="n">
        <v/>
      </c>
    </row>
    <row r="6">
      <c r="A6" s="110" t="inlineStr">
        <is>
          <t>Sagar Thumma</t>
        </is>
      </c>
      <c r="B6" s="110" t="inlineStr">
        <is>
          <t>AB10087</t>
        </is>
      </c>
      <c r="C6" s="110" t="inlineStr">
        <is>
          <t>RIDDHI RAVINDRA NARKAR</t>
        </is>
      </c>
      <c r="D6" s="111" t="n">
        <v>31000</v>
      </c>
      <c r="E6" s="111" t="n">
        <v>28</v>
      </c>
      <c r="F6" s="111" t="n">
        <v>28</v>
      </c>
      <c r="G6" s="111" t="n">
        <v>4</v>
      </c>
      <c r="H6" s="111" t="n">
        <v>4</v>
      </c>
      <c r="I6" s="111" t="n">
        <v>3</v>
      </c>
      <c r="J6" s="111" t="n">
        <v>19</v>
      </c>
      <c r="K6" s="111" t="n">
        <v>30</v>
      </c>
      <c r="L6" s="111" t="n">
        <v>0</v>
      </c>
      <c r="M6" s="111" t="n">
        <v>0</v>
      </c>
      <c r="N6" s="111" t="n">
        <v>30</v>
      </c>
      <c r="O6" s="111" t="n">
        <v>33214.29</v>
      </c>
      <c r="P6" s="111" t="n">
        <v>2000</v>
      </c>
      <c r="Q6" s="111" t="n">
        <v>0</v>
      </c>
      <c r="R6" s="111" t="n">
        <v>0</v>
      </c>
      <c r="S6" s="111" t="n">
        <v>35214.29</v>
      </c>
      <c r="T6" s="111" t="n">
        <v>3169.29</v>
      </c>
      <c r="U6" s="111" t="n">
        <v>3169.29</v>
      </c>
      <c r="V6" s="111" t="n">
        <v>41552.86</v>
      </c>
      <c r="W6" s="110" t="n">
        <v/>
      </c>
    </row>
    <row r="7">
      <c r="A7" s="110" t="inlineStr">
        <is>
          <t>Sagar Thumma</t>
        </is>
      </c>
      <c r="B7" s="110" t="inlineStr">
        <is>
          <t>AB10088</t>
        </is>
      </c>
      <c r="C7" s="110" t="inlineStr">
        <is>
          <t>VINAY YASWANT JOSHI</t>
        </is>
      </c>
      <c r="D7" s="111" t="n">
        <v>26600</v>
      </c>
      <c r="E7" s="111" t="n">
        <v>28</v>
      </c>
      <c r="F7" s="111" t="n">
        <v>28</v>
      </c>
      <c r="G7" s="111" t="n">
        <v>4</v>
      </c>
      <c r="H7" s="111" t="n">
        <v>4</v>
      </c>
      <c r="I7" s="111" t="n">
        <v>3</v>
      </c>
      <c r="J7" s="111" t="n">
        <v>19</v>
      </c>
      <c r="K7" s="111" t="n">
        <v>30</v>
      </c>
      <c r="L7" s="111" t="n">
        <v>0</v>
      </c>
      <c r="M7" s="111" t="n">
        <v>0</v>
      </c>
      <c r="N7" s="111" t="n">
        <v>30</v>
      </c>
      <c r="O7" s="111" t="n">
        <v>28500</v>
      </c>
      <c r="P7" s="111" t="n">
        <v>1500</v>
      </c>
      <c r="Q7" s="111" t="n">
        <v>0</v>
      </c>
      <c r="R7" s="111" t="n">
        <v>0</v>
      </c>
      <c r="S7" s="111" t="n">
        <v>30000</v>
      </c>
      <c r="T7" s="111" t="n">
        <v>2700</v>
      </c>
      <c r="U7" s="111" t="n">
        <v>2700</v>
      </c>
      <c r="V7" s="111" t="n">
        <v>35400</v>
      </c>
      <c r="W7" s="110" t="n">
        <v/>
      </c>
    </row>
    <row r="8">
      <c r="A8" s="112" t="inlineStr">
        <is>
          <t>TOTAL</t>
        </is>
      </c>
      <c r="B8" s="112" t="n"/>
      <c r="C8" s="112" t="n"/>
      <c r="D8" s="113">
        <f>ROUND(SUM(D2:D7), 0)</f>
        <v/>
      </c>
      <c r="E8" s="113">
        <f>ROUND(SUM(E2:E7), 0)</f>
        <v/>
      </c>
      <c r="F8" s="113">
        <f>ROUND(SUM(F2:F7), 0)</f>
        <v/>
      </c>
      <c r="G8" s="113">
        <f>ROUND(SUM(G2:G7), 0)</f>
        <v/>
      </c>
      <c r="H8" s="113">
        <f>ROUND(SUM(H2:H7), 0)</f>
        <v/>
      </c>
      <c r="I8" s="113">
        <f>ROUND(SUM(I2:I7), 0)</f>
        <v/>
      </c>
      <c r="J8" s="113">
        <f>ROUND(SUM(J2:J7), 0)</f>
        <v/>
      </c>
      <c r="K8" s="113">
        <f>ROUND(SUM(K2:K7), 0)</f>
        <v/>
      </c>
      <c r="L8" s="113">
        <f>ROUND(SUM(L2:L7), 0)</f>
        <v/>
      </c>
      <c r="M8" s="113">
        <f>ROUND(SUM(M2:M7), 0)</f>
        <v/>
      </c>
      <c r="N8" s="113">
        <f>ROUND(SUM(N2:N7), 0)</f>
        <v/>
      </c>
      <c r="O8" s="113">
        <f>ROUND(SUM(O2:O7), 0)</f>
        <v/>
      </c>
      <c r="P8" s="113">
        <f>ROUND(SUM(P2:P7), 0)</f>
        <v/>
      </c>
      <c r="Q8" s="113">
        <f>ROUND(SUM(Q2:Q7), 0)</f>
        <v/>
      </c>
      <c r="R8" s="113">
        <f>ROUND(SUM(R2:R7), 0)</f>
        <v/>
      </c>
      <c r="S8" s="113">
        <f>ROUND(SUM(S2:S7), 0)</f>
        <v/>
      </c>
      <c r="T8" s="113">
        <f>CEILING(SUM(T2:T7), 1)</f>
        <v/>
      </c>
      <c r="U8" s="113">
        <f>CEILING(SUM(U2:U7), 1)</f>
        <v/>
      </c>
      <c r="V8" s="113">
        <f>ROUND(SUM(S8,T8,U8), 0)</f>
        <v/>
      </c>
      <c r="W8" s="11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2025-12-30T11:23:59Z</dcterms:created>
  <dcterms:modified xsi:type="dcterms:W3CDTF">2026-02-28T13:17:57Z</dcterms:modified>
  <cp:lastModifiedBy>Kanishk Maheshwari</cp:lastModifiedBy>
  <cp:lastPrinted>2026-01-03T10:37:08Z</cp:lastPrinted>
</cp:coreProperties>
</file>