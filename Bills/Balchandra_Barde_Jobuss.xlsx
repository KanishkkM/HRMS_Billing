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Balchandra Baride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2" fillId="0" borderId="2" pivotButton="0" quotePrefix="0" xfId="0"/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2" fillId="0" borderId="2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3" applyAlignment="1" pivotButton="0" quotePrefix="0" xfId="0">
      <alignment horizontal="left" wrapText="1"/>
    </xf>
    <xf numFmtId="0" fontId="0" fillId="0" borderId="10" pivotButton="0" quotePrefix="0" xfId="0"/>
    <xf numFmtId="0" fontId="8" fillId="0" borderId="24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/>
    </xf>
    <xf numFmtId="0" fontId="8" fillId="0" borderId="24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12" zoomScale="108" zoomScaleNormal="70" workbookViewId="0">
      <selection activeCell="G7" sqref="G7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35" t="inlineStr">
        <is>
          <t>Jobuss Resources Pvt Ltd.</t>
        </is>
      </c>
      <c r="B2" s="23" t="n"/>
      <c r="C2" s="23" t="n"/>
      <c r="D2" s="23" t="n"/>
      <c r="E2" s="23" t="n"/>
      <c r="F2" s="38" t="n"/>
      <c r="G2" s="23" t="n"/>
      <c r="H2" s="24" t="n"/>
    </row>
    <row r="3" ht="17.4" customHeight="1" thickBot="1">
      <c r="A3" s="83" t="inlineStr">
        <is>
          <t>Private Limited</t>
        </is>
      </c>
      <c r="B3" s="23" t="n"/>
      <c r="C3" s="23" t="n"/>
      <c r="D3" s="23" t="n"/>
      <c r="E3" s="23" t="n"/>
      <c r="F3" s="23" t="n"/>
      <c r="G3" s="23" t="n"/>
      <c r="H3" s="24" t="n"/>
    </row>
    <row r="4" ht="15" customHeight="1" thickBot="1">
      <c r="A4" s="84" t="inlineStr">
        <is>
          <t>Add:-1106, Sureshwari Techno IT Park, Eskay Resort, Borivali West Mumbai- 400092</t>
        </is>
      </c>
      <c r="B4" s="23" t="n"/>
      <c r="C4" s="23" t="n"/>
      <c r="D4" s="23" t="n"/>
      <c r="E4" s="23" t="n"/>
      <c r="F4" s="23" t="n"/>
      <c r="G4" s="23" t="n"/>
      <c r="H4" s="2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23" t="n"/>
      <c r="C6" s="23" t="n"/>
      <c r="D6" s="23" t="n"/>
      <c r="E6" s="23" t="n"/>
      <c r="F6" s="23" t="n"/>
      <c r="G6" s="23" t="n"/>
      <c r="H6" s="24" t="n"/>
    </row>
    <row r="7" ht="15" customHeight="1" thickTop="1">
      <c r="A7" s="86" t="inlineStr">
        <is>
          <t>Reliance Corporate Park</t>
        </is>
      </c>
      <c r="B7" s="87" t="n"/>
      <c r="C7" s="87" t="n"/>
      <c r="D7" s="87" t="n"/>
      <c r="E7" s="88" t="n"/>
      <c r="F7" s="25" t="inlineStr">
        <is>
          <t xml:space="preserve">Bill No. : </t>
        </is>
      </c>
      <c r="G7" s="26" t="n"/>
      <c r="H7" s="27" t="n"/>
    </row>
    <row r="8">
      <c r="A8" s="89" t="inlineStr">
        <is>
          <t>5,TTC,Industrial Area</t>
        </is>
      </c>
      <c r="E8" s="90" t="n"/>
      <c r="F8" s="91" t="inlineStr">
        <is>
          <t>PAN: AAECJ2353C</t>
        </is>
      </c>
      <c r="H8" s="13" t="n"/>
    </row>
    <row r="9">
      <c r="A9" s="92" t="inlineStr">
        <is>
          <t>Thane Belapur Road, Ghansoli,</t>
        </is>
      </c>
      <c r="E9" s="90" t="n"/>
      <c r="F9" s="91" t="inlineStr">
        <is>
          <t>GST No:  27AAECJ2353C1ZX</t>
        </is>
      </c>
      <c r="H9" s="13" t="n"/>
      <c r="I9" s="4" t="n"/>
    </row>
    <row r="10">
      <c r="A10" s="92" t="inlineStr">
        <is>
          <t>Navi Mumbai-400701, MAHARASHTRA, INDIA</t>
        </is>
      </c>
      <c r="E10" s="90" t="n"/>
      <c r="F10" s="91" t="inlineStr">
        <is>
          <t>PF No.- KDMAL1720777000</t>
        </is>
      </c>
      <c r="H10" s="13" t="n"/>
      <c r="I10" s="4" t="n"/>
    </row>
    <row r="11">
      <c r="A11" s="20" t="inlineStr">
        <is>
          <t xml:space="preserve">GST NO: </t>
        </is>
      </c>
      <c r="B11" s="21" t="inlineStr">
        <is>
          <t>27AAACR5055K1Z7</t>
        </is>
      </c>
      <c r="C11" s="21" t="n"/>
      <c r="D11" s="21" t="n"/>
      <c r="E11" s="22" t="n"/>
      <c r="F11" s="91" t="inlineStr">
        <is>
          <t>ESIC No.- 35000427980001001</t>
        </is>
      </c>
      <c r="H11" s="13" t="n"/>
      <c r="I11" s="4" t="n"/>
    </row>
    <row r="12">
      <c r="A12" s="20" t="inlineStr">
        <is>
          <t xml:space="preserve">PAN:  </t>
        </is>
      </c>
      <c r="B12" s="21" t="inlineStr">
        <is>
          <t xml:space="preserve">AAACR5055K </t>
        </is>
      </c>
      <c r="C12" s="21" t="n"/>
      <c r="D12" s="21" t="n"/>
      <c r="E12" s="22" t="n"/>
      <c r="F12" s="55" t="inlineStr">
        <is>
          <t>Bill Date:</t>
        </is>
      </c>
      <c r="G12" s="56" t="inlineStr">
        <is>
          <t>28-02-2026</t>
        </is>
      </c>
      <c r="H12" s="57" t="n"/>
    </row>
    <row r="13">
      <c r="A13" s="20" t="inlineStr">
        <is>
          <t xml:space="preserve">Kind Attn: </t>
        </is>
      </c>
      <c r="B13" s="21" t="inlineStr">
        <is>
          <t>Mr. Balchandra Baride</t>
        </is>
      </c>
      <c r="C13" s="21" t="n"/>
      <c r="D13" s="21" t="n"/>
      <c r="E13" s="22" t="n"/>
      <c r="F13" s="55" t="inlineStr">
        <is>
          <t>Due Date:</t>
        </is>
      </c>
      <c r="G13" s="56" t="inlineStr">
        <is>
          <t>03-03-2026</t>
        </is>
      </c>
      <c r="H13" s="57" t="n"/>
    </row>
    <row r="14">
      <c r="A14" s="92" t="inlineStr">
        <is>
          <t>Place of Service: Navi Mumbai</t>
        </is>
      </c>
      <c r="E14" s="90" t="n"/>
      <c r="F14" s="93" t="inlineStr">
        <is>
          <t>SAC Code:  998224 (Contract Staffing)</t>
        </is>
      </c>
      <c r="H14" s="13" t="n"/>
    </row>
    <row r="15" ht="15" customHeight="1" thickBot="1">
      <c r="A15" s="92" t="n"/>
      <c r="E15" s="90" t="n"/>
      <c r="F15" s="93" t="inlineStr">
        <is>
          <t>Place of Service: Navi Mumbai</t>
        </is>
      </c>
      <c r="H15" s="13" t="n"/>
      <c r="I15" s="5" t="n"/>
      <c r="K15" s="94" t="n"/>
    </row>
    <row r="16" ht="15" customHeight="1" thickBot="1">
      <c r="A16" s="75" t="inlineStr">
        <is>
          <t>Work Order: 550048173</t>
        </is>
      </c>
      <c r="B16" s="23" t="n"/>
      <c r="C16" s="23" t="n"/>
      <c r="D16" s="23" t="n"/>
      <c r="E16" s="24" t="n"/>
      <c r="F16" s="75" t="inlineStr">
        <is>
          <t xml:space="preserve">Vendor Code: </t>
        </is>
      </c>
      <c r="G16" s="28" t="n">
        <v>3347687</v>
      </c>
      <c r="H16" s="24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206973</v>
      </c>
    </row>
    <row r="18">
      <c r="A18" s="8" t="n"/>
      <c r="G18" s="13" t="n"/>
      <c r="H18" s="99" t="n"/>
    </row>
    <row r="19">
      <c r="A19" s="8" t="n"/>
      <c r="G19" s="13" t="n"/>
      <c r="H19" s="99" t="n"/>
    </row>
    <row r="20" ht="15" customHeight="1" thickBot="1">
      <c r="A20" s="14" t="n"/>
      <c r="B20" s="17" t="n"/>
      <c r="C20" s="17" t="n"/>
      <c r="D20" s="17" t="n"/>
      <c r="E20" s="17" t="n"/>
      <c r="F20" s="17" t="n"/>
      <c r="G20" s="18" t="n"/>
      <c r="H20" s="100" t="n"/>
    </row>
    <row r="21" ht="18" customHeight="1" thickBot="1">
      <c r="A21" s="73" t="inlineStr">
        <is>
          <t>Add : SGST @ 9%</t>
        </is>
      </c>
      <c r="B21" s="23" t="n"/>
      <c r="C21" s="23" t="n"/>
      <c r="D21" s="23" t="n"/>
      <c r="E21" s="23" t="n"/>
      <c r="F21" s="23" t="n"/>
      <c r="G21" s="24" t="n"/>
      <c r="H21" s="98" t="n">
        <v>18628</v>
      </c>
    </row>
    <row r="22" ht="15.75" customHeight="1" thickBot="1">
      <c r="A22" s="73" t="inlineStr">
        <is>
          <t>Add : CGST @ 9%</t>
        </is>
      </c>
      <c r="B22" s="23" t="n"/>
      <c r="C22" s="23" t="n"/>
      <c r="D22" s="23" t="n"/>
      <c r="E22" s="23" t="n"/>
      <c r="F22" s="23" t="n"/>
      <c r="G22" s="24" t="n"/>
      <c r="H22" s="98" t="n">
        <v>18628</v>
      </c>
    </row>
    <row r="23" ht="15" customHeight="1">
      <c r="A23" s="8" t="n"/>
      <c r="H23" s="98" t="n">
        <v>244228</v>
      </c>
    </row>
    <row r="24" ht="16.5" customHeight="1">
      <c r="A24" s="9" t="inlineStr">
        <is>
          <t>Rupees:</t>
        </is>
      </c>
      <c r="B24" s="10" t="inlineStr">
        <is>
          <t>Two Lakh, Forty-Four Thousand, Two Hundred And Twenty-Eight Only</t>
        </is>
      </c>
      <c r="H24" s="99" t="n"/>
    </row>
    <row r="25" ht="15.75" customHeight="1" thickBot="1">
      <c r="A25" s="11" t="n"/>
      <c r="B25" s="12" t="n"/>
      <c r="C25" s="12" t="n"/>
      <c r="D25" s="12" t="n"/>
      <c r="E25" s="12" t="n"/>
      <c r="F25" s="12" t="n"/>
      <c r="G25" s="12" t="n"/>
      <c r="H25" s="100" t="n"/>
    </row>
    <row r="26" ht="15" customHeight="1" thickTop="1">
      <c r="A26" s="8" t="n"/>
      <c r="H26" s="13" t="n"/>
    </row>
    <row r="27">
      <c r="A27" s="8" t="n"/>
      <c r="H27" s="13" t="n"/>
    </row>
    <row r="28">
      <c r="A28" s="8" t="n"/>
      <c r="H28" s="13" t="n"/>
    </row>
    <row r="29">
      <c r="A29" s="8" t="n"/>
      <c r="H29" s="13" t="n"/>
    </row>
    <row r="30">
      <c r="A30" s="8" t="n"/>
      <c r="H30" s="13" t="n"/>
    </row>
    <row r="31" ht="15" customHeight="1" thickBot="1">
      <c r="A31" s="8" t="n"/>
      <c r="H31" s="13" t="n"/>
    </row>
    <row r="32" ht="15" customHeight="1" thickBot="1">
      <c r="A32" s="101" t="inlineStr">
        <is>
          <t>Bank Details:</t>
        </is>
      </c>
      <c r="B32" s="23" t="n"/>
      <c r="C32" s="24" t="n"/>
      <c r="H32" s="13" t="n"/>
    </row>
    <row r="33">
      <c r="A33" s="8" t="inlineStr">
        <is>
          <t>Name:</t>
        </is>
      </c>
      <c r="B33" s="78" t="inlineStr">
        <is>
          <t>Jobuss Resources Pvt. Ltd.</t>
        </is>
      </c>
      <c r="C33" s="13" t="n"/>
      <c r="H33" s="13" t="n"/>
    </row>
    <row r="34">
      <c r="A34" s="8" t="inlineStr">
        <is>
          <t>Bank Name:</t>
        </is>
      </c>
      <c r="B34" s="78" t="inlineStr">
        <is>
          <t>ICICI Bank</t>
        </is>
      </c>
      <c r="C34" s="13" t="n"/>
      <c r="H34" s="13" t="n"/>
    </row>
    <row r="35">
      <c r="A35" s="8" t="inlineStr">
        <is>
          <t>A/c No.:</t>
        </is>
      </c>
      <c r="B35" s="102" t="inlineStr">
        <is>
          <t>120905000960</t>
        </is>
      </c>
      <c r="C35" s="13" t="n"/>
      <c r="H35" s="13" t="n"/>
    </row>
    <row r="36">
      <c r="A36" s="8" t="inlineStr">
        <is>
          <t>IFSC Code:</t>
        </is>
      </c>
      <c r="B36" s="78" t="inlineStr">
        <is>
          <t>ICIC0001209</t>
        </is>
      </c>
      <c r="C36" s="13" t="n"/>
      <c r="H36" s="13" t="n"/>
    </row>
    <row r="37" ht="15" customHeight="1" thickBot="1">
      <c r="A37" s="14" t="inlineStr">
        <is>
          <t>MICR No:</t>
        </is>
      </c>
      <c r="B37" s="103" t="inlineStr">
        <is>
          <t>400229195</t>
        </is>
      </c>
      <c r="C37" s="18" t="n"/>
      <c r="H37" s="13" t="n"/>
    </row>
    <row r="38">
      <c r="A38" s="8" t="n"/>
      <c r="H38" s="13" t="n"/>
    </row>
    <row r="39">
      <c r="A39" s="8" t="n"/>
      <c r="H39" s="13" t="n"/>
    </row>
    <row r="40">
      <c r="A40" s="8" t="n"/>
      <c r="H40" s="13" t="n"/>
    </row>
    <row r="41">
      <c r="A41" s="8" t="n"/>
      <c r="H41" s="13" t="n"/>
    </row>
    <row r="42">
      <c r="A42" s="8" t="n"/>
      <c r="H42" s="13" t="n"/>
    </row>
    <row r="43">
      <c r="A43" s="8" t="n"/>
      <c r="H43" s="13" t="n"/>
    </row>
    <row r="44">
      <c r="A44" s="8" t="n"/>
      <c r="H44" s="13" t="n"/>
    </row>
    <row r="45" ht="15.6" customHeight="1">
      <c r="A45" s="8" t="n"/>
      <c r="G45" s="10" t="inlineStr">
        <is>
          <t xml:space="preserve">    For Jobuss Resources Pvt. Ltd.</t>
        </is>
      </c>
      <c r="H45" s="13" t="n"/>
    </row>
    <row r="46">
      <c r="A46" s="8" t="n"/>
      <c r="H46" s="13" t="n"/>
    </row>
    <row r="47">
      <c r="A47" s="8" t="n"/>
      <c r="H47" s="13" t="n"/>
    </row>
    <row r="48">
      <c r="A48" s="8" t="n"/>
      <c r="H48" s="13" t="n"/>
    </row>
    <row r="49">
      <c r="A49" s="8" t="n"/>
      <c r="H49" s="13" t="n"/>
    </row>
    <row r="50">
      <c r="A50" s="8" t="n"/>
      <c r="H50" s="13" t="n"/>
    </row>
    <row r="51">
      <c r="A51" s="8" t="n"/>
      <c r="H51" s="13" t="n"/>
    </row>
    <row r="52">
      <c r="A52" s="8" t="n"/>
      <c r="H52" s="13" t="n"/>
    </row>
    <row r="53" ht="15.6" customHeight="1">
      <c r="A53" s="8" t="n"/>
      <c r="G53" s="10" t="inlineStr">
        <is>
          <t xml:space="preserve">            Authorized Signatory</t>
        </is>
      </c>
      <c r="H53" s="13" t="n"/>
    </row>
    <row r="54" ht="15.6" customHeight="1">
      <c r="A54" s="8" t="n"/>
      <c r="G54" s="10" t="n"/>
      <c r="H54" s="13" t="n"/>
    </row>
    <row r="55" ht="15.6" customHeight="1">
      <c r="A55" s="8" t="n"/>
      <c r="G55" s="10" t="n"/>
      <c r="H55" s="13" t="n"/>
    </row>
    <row r="56" ht="15.6" customHeight="1">
      <c r="A56" s="8" t="n"/>
      <c r="G56" s="10" t="n"/>
      <c r="H56" s="13" t="n"/>
    </row>
    <row r="57" ht="15.6" customHeight="1">
      <c r="A57" s="8" t="n"/>
      <c r="G57" s="10" t="n"/>
      <c r="H57" s="13" t="n"/>
    </row>
    <row r="58">
      <c r="A58" s="8" t="n"/>
      <c r="H58" s="13" t="n"/>
    </row>
    <row r="59" ht="15.6" customHeight="1">
      <c r="A59" s="15" t="inlineStr">
        <is>
          <t>●   Early Remittance is Solicited.</t>
        </is>
      </c>
      <c r="B59" s="16" t="n"/>
      <c r="H59" s="13" t="n"/>
    </row>
    <row r="60" ht="15.75" customHeight="1">
      <c r="A60" s="104" t="inlineStr">
        <is>
          <t xml:space="preserve">  ●   GST No  27AAECJ2353C1ZX &amp; SAC Code  998513</t>
        </is>
      </c>
      <c r="H60" s="13" t="n"/>
    </row>
    <row r="61" ht="22.5" customHeight="1">
      <c r="A61" s="8" t="n"/>
      <c r="H61" s="13" t="n"/>
    </row>
    <row r="62" ht="15" customHeight="1" thickBot="1">
      <c r="A62" s="14" t="n"/>
      <c r="B62" s="17" t="n"/>
      <c r="C62" s="17" t="n"/>
      <c r="D62" s="17" t="n"/>
      <c r="E62" s="17" t="n"/>
      <c r="F62" s="17" t="n"/>
      <c r="G62" s="17" t="n"/>
      <c r="H62" s="18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A8:E8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.7" right="0.7" top="0.75" bottom="0.75" header="0.3" footer="0.3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  <c r="X1" s="105" t="inlineStr">
        <is>
          <t>IGST @18%</t>
        </is>
      </c>
    </row>
    <row r="2">
      <c r="A2" s="106" t="inlineStr">
        <is>
          <t>Balchandra Barde</t>
        </is>
      </c>
      <c r="B2" s="106" t="inlineStr">
        <is>
          <t>JB-10257</t>
        </is>
      </c>
      <c r="C2" s="106" t="inlineStr">
        <is>
          <t>DEEPAK KUMAR MANDAL</t>
        </is>
      </c>
      <c r="D2" s="106" t="n">
        <v>25100</v>
      </c>
      <c r="E2" s="106" t="n">
        <v>28</v>
      </c>
      <c r="F2" s="106" t="n">
        <v>28</v>
      </c>
      <c r="G2" s="106" t="n">
        <v>0</v>
      </c>
      <c r="H2" s="106" t="n">
        <v>4</v>
      </c>
      <c r="I2" s="106" t="n">
        <v>2</v>
      </c>
      <c r="J2" s="106" t="n">
        <v>25</v>
      </c>
      <c r="K2" s="106" t="n">
        <v>31</v>
      </c>
      <c r="L2" s="106" t="n">
        <v>0</v>
      </c>
      <c r="M2" s="106" t="n">
        <v>0</v>
      </c>
      <c r="N2" s="106" t="n">
        <v>31</v>
      </c>
      <c r="O2" s="106" t="n">
        <v>27789.29</v>
      </c>
      <c r="P2" s="106" t="n">
        <v>2000</v>
      </c>
      <c r="Q2" s="106" t="n">
        <v>349</v>
      </c>
      <c r="R2" s="106" t="n">
        <v>0</v>
      </c>
      <c r="S2" s="106" t="n">
        <v>30138.29</v>
      </c>
      <c r="T2" s="106" t="n">
        <v>35563.18</v>
      </c>
      <c r="U2" s="106" t="n">
        <v/>
      </c>
      <c r="V2" s="106" t="n">
        <v>2712.45</v>
      </c>
      <c r="W2" s="106" t="n">
        <v>2712.45</v>
      </c>
      <c r="X2" s="106" t="n">
        <v/>
      </c>
    </row>
    <row r="3">
      <c r="A3" s="106" t="inlineStr">
        <is>
          <t>Balchandra Barde</t>
        </is>
      </c>
      <c r="B3" s="106" t="inlineStr">
        <is>
          <t>JB-10256</t>
        </is>
      </c>
      <c r="C3" s="106" t="inlineStr">
        <is>
          <t>PRITI MISHRA</t>
        </is>
      </c>
      <c r="D3" s="106" t="n">
        <v>22599</v>
      </c>
      <c r="E3" s="106" t="n">
        <v>28</v>
      </c>
      <c r="F3" s="106" t="n">
        <v>28</v>
      </c>
      <c r="G3" s="106" t="n">
        <v>0</v>
      </c>
      <c r="H3" s="106" t="n">
        <v>4</v>
      </c>
      <c r="I3" s="106" t="n">
        <v>2</v>
      </c>
      <c r="J3" s="106" t="n">
        <v>25</v>
      </c>
      <c r="K3" s="106" t="n">
        <v>31</v>
      </c>
      <c r="L3" s="106" t="n">
        <v>0</v>
      </c>
      <c r="M3" s="106" t="n">
        <v>0</v>
      </c>
      <c r="N3" s="106" t="n">
        <v>31</v>
      </c>
      <c r="O3" s="106" t="n">
        <v>25020.32</v>
      </c>
      <c r="P3" s="106" t="n">
        <v>2000</v>
      </c>
      <c r="Q3" s="106" t="n">
        <v>0</v>
      </c>
      <c r="R3" s="106" t="n">
        <v>0</v>
      </c>
      <c r="S3" s="106" t="n">
        <v>27020.32</v>
      </c>
      <c r="T3" s="106" t="n">
        <v>31883.98</v>
      </c>
      <c r="U3" s="106" t="n">
        <v/>
      </c>
      <c r="V3" s="106" t="n">
        <v>2431.83</v>
      </c>
      <c r="W3" s="106" t="n">
        <v>2431.83</v>
      </c>
      <c r="X3" s="106" t="n">
        <v/>
      </c>
    </row>
    <row r="4">
      <c r="A4" s="106" t="inlineStr">
        <is>
          <t>Balchandra Barde</t>
        </is>
      </c>
      <c r="B4" s="106" t="inlineStr">
        <is>
          <t>JB-10251</t>
        </is>
      </c>
      <c r="C4" s="106" t="inlineStr">
        <is>
          <t>SUPRIYA DADU SHINDE</t>
        </is>
      </c>
      <c r="D4" s="106" t="n">
        <v>20432</v>
      </c>
      <c r="E4" s="106" t="n">
        <v>28</v>
      </c>
      <c r="F4" s="106" t="n">
        <v>28</v>
      </c>
      <c r="G4" s="106" t="n">
        <v>0</v>
      </c>
      <c r="H4" s="106" t="n">
        <v>4</v>
      </c>
      <c r="I4" s="106" t="n">
        <v>2</v>
      </c>
      <c r="J4" s="106" t="n">
        <v>25</v>
      </c>
      <c r="K4" s="106" t="n">
        <v>31</v>
      </c>
      <c r="L4" s="106" t="n">
        <v>0</v>
      </c>
      <c r="M4" s="106" t="n">
        <v>0</v>
      </c>
      <c r="N4" s="106" t="n">
        <v>31</v>
      </c>
      <c r="O4" s="106" t="n">
        <v>22621.14</v>
      </c>
      <c r="P4" s="106" t="n">
        <v>2000</v>
      </c>
      <c r="Q4" s="106" t="n">
        <v>0</v>
      </c>
      <c r="R4" s="106" t="n">
        <v>0</v>
      </c>
      <c r="S4" s="106" t="n">
        <v>24621.14</v>
      </c>
      <c r="T4" s="106" t="n">
        <v>29052.95</v>
      </c>
      <c r="U4" s="106" t="n">
        <v/>
      </c>
      <c r="V4" s="106" t="n">
        <v>2215.9</v>
      </c>
      <c r="W4" s="106" t="n">
        <v>2215.9</v>
      </c>
      <c r="X4" s="106" t="n">
        <v/>
      </c>
    </row>
    <row r="5">
      <c r="A5" s="106" t="inlineStr">
        <is>
          <t>Balchandra Barde</t>
        </is>
      </c>
      <c r="B5" s="106" t="inlineStr">
        <is>
          <t>JB-10252</t>
        </is>
      </c>
      <c r="C5" s="106" t="inlineStr">
        <is>
          <t>DIVYA SAHEBRAO SALVE</t>
        </is>
      </c>
      <c r="D5" s="106" t="n">
        <v>20432</v>
      </c>
      <c r="E5" s="106" t="n">
        <v>28</v>
      </c>
      <c r="F5" s="106" t="n">
        <v>28</v>
      </c>
      <c r="G5" s="106" t="n">
        <v>0</v>
      </c>
      <c r="H5" s="106" t="n">
        <v>4</v>
      </c>
      <c r="I5" s="106" t="n">
        <v>2</v>
      </c>
      <c r="J5" s="106" t="n">
        <v>25</v>
      </c>
      <c r="K5" s="106" t="n">
        <v>31</v>
      </c>
      <c r="L5" s="106" t="n">
        <v>0</v>
      </c>
      <c r="M5" s="106" t="n">
        <v>0</v>
      </c>
      <c r="N5" s="106" t="n">
        <v>31</v>
      </c>
      <c r="O5" s="106" t="n">
        <v>22621.14</v>
      </c>
      <c r="P5" s="106" t="n">
        <v>2000</v>
      </c>
      <c r="Q5" s="106" t="n">
        <v>0</v>
      </c>
      <c r="R5" s="106" t="n">
        <v>0</v>
      </c>
      <c r="S5" s="106" t="n">
        <v>24621.14</v>
      </c>
      <c r="T5" s="106" t="n">
        <v>29052.95</v>
      </c>
      <c r="U5" s="106" t="n">
        <v/>
      </c>
      <c r="V5" s="106" t="n">
        <v>2215.9</v>
      </c>
      <c r="W5" s="106" t="n">
        <v>2215.9</v>
      </c>
      <c r="X5" s="106" t="n">
        <v/>
      </c>
    </row>
    <row r="6">
      <c r="A6" s="106" t="inlineStr">
        <is>
          <t>Balchandra Barde</t>
        </is>
      </c>
      <c r="B6" s="106" t="inlineStr">
        <is>
          <t>JB-10254</t>
        </is>
      </c>
      <c r="C6" s="106" t="inlineStr">
        <is>
          <t>SAGAR SUNIL HINDELEKAR</t>
        </is>
      </c>
      <c r="D6" s="106" t="n">
        <v>22084</v>
      </c>
      <c r="E6" s="106" t="n">
        <v>28</v>
      </c>
      <c r="F6" s="106" t="n">
        <v>28</v>
      </c>
      <c r="G6" s="106" t="n">
        <v>0</v>
      </c>
      <c r="H6" s="106" t="n">
        <v>4</v>
      </c>
      <c r="I6" s="106" t="n">
        <v>2</v>
      </c>
      <c r="J6" s="106" t="n">
        <v>25</v>
      </c>
      <c r="K6" s="106" t="n">
        <v>31</v>
      </c>
      <c r="L6" s="106" t="n">
        <v>0</v>
      </c>
      <c r="M6" s="106" t="n">
        <v>0</v>
      </c>
      <c r="N6" s="106" t="n">
        <v>31</v>
      </c>
      <c r="O6" s="106" t="n">
        <v>24450.14</v>
      </c>
      <c r="P6" s="106" t="n">
        <v>2000</v>
      </c>
      <c r="Q6" s="106" t="n">
        <v>860</v>
      </c>
      <c r="R6" s="106" t="n">
        <v>0</v>
      </c>
      <c r="S6" s="106" t="n">
        <v>27310.14</v>
      </c>
      <c r="T6" s="106" t="n">
        <v>32225.97</v>
      </c>
      <c r="U6" s="106" t="n">
        <v/>
      </c>
      <c r="V6" s="106" t="n">
        <v>2457.91</v>
      </c>
      <c r="W6" s="106" t="n">
        <v>2457.91</v>
      </c>
      <c r="X6" s="106" t="n">
        <v/>
      </c>
    </row>
    <row r="7">
      <c r="A7" s="106" t="inlineStr">
        <is>
          <t>Balchandra Barde</t>
        </is>
      </c>
      <c r="B7" s="106" t="inlineStr">
        <is>
          <t>JB-10255</t>
        </is>
      </c>
      <c r="C7" s="106" t="inlineStr">
        <is>
          <t>SONI MISHRA</t>
        </is>
      </c>
      <c r="D7" s="106" t="n">
        <v>23117</v>
      </c>
      <c r="E7" s="106" t="n">
        <v>28</v>
      </c>
      <c r="F7" s="106" t="n">
        <v>28</v>
      </c>
      <c r="G7" s="106" t="n">
        <v>0</v>
      </c>
      <c r="H7" s="106" t="n">
        <v>4</v>
      </c>
      <c r="I7" s="106" t="n">
        <v>2</v>
      </c>
      <c r="J7" s="106" t="n">
        <v>25</v>
      </c>
      <c r="K7" s="106" t="n">
        <v>31</v>
      </c>
      <c r="L7" s="106" t="n">
        <v>0</v>
      </c>
      <c r="M7" s="106" t="n">
        <v>0</v>
      </c>
      <c r="N7" s="106" t="n">
        <v>31</v>
      </c>
      <c r="O7" s="106" t="n">
        <v>25593.82</v>
      </c>
      <c r="P7" s="106" t="n">
        <v>2000</v>
      </c>
      <c r="Q7" s="106" t="n">
        <v>349</v>
      </c>
      <c r="R7" s="106" t="n">
        <v>0</v>
      </c>
      <c r="S7" s="106" t="n">
        <v>27942.82</v>
      </c>
      <c r="T7" s="106" t="n">
        <v>32972.53</v>
      </c>
      <c r="U7" s="106" t="n">
        <v/>
      </c>
      <c r="V7" s="106" t="n">
        <v>2514.85</v>
      </c>
      <c r="W7" s="106" t="n">
        <v>2514.85</v>
      </c>
      <c r="X7" s="106" t="n">
        <v/>
      </c>
    </row>
    <row r="8">
      <c r="A8" s="106" t="inlineStr">
        <is>
          <t>Balchandra Barde</t>
        </is>
      </c>
      <c r="B8" s="106" t="inlineStr">
        <is>
          <t>JB-10253</t>
        </is>
      </c>
      <c r="C8" s="106" t="inlineStr">
        <is>
          <t>NIKISHA NARAYAN BALGUDE</t>
        </is>
      </c>
      <c r="D8" s="106" t="n">
        <v>20432</v>
      </c>
      <c r="E8" s="106" t="n">
        <v>28</v>
      </c>
      <c r="F8" s="106" t="n">
        <v>28</v>
      </c>
      <c r="G8" s="106" t="n">
        <v>0</v>
      </c>
      <c r="H8" s="106" t="n">
        <v>4</v>
      </c>
      <c r="I8" s="106" t="n">
        <v>2</v>
      </c>
      <c r="J8" s="106" t="n">
        <v>22</v>
      </c>
      <c r="K8" s="106" t="n">
        <v>28</v>
      </c>
      <c r="L8" s="106" t="n">
        <v>3</v>
      </c>
      <c r="M8" s="106" t="n">
        <v>2</v>
      </c>
      <c r="N8" s="106" t="n">
        <v>30</v>
      </c>
      <c r="O8" s="106" t="n">
        <v>21891.43</v>
      </c>
      <c r="P8" s="106" t="n">
        <v>2000</v>
      </c>
      <c r="Q8" s="106" t="n">
        <v>0</v>
      </c>
      <c r="R8" s="106" t="n">
        <v>0</v>
      </c>
      <c r="S8" s="106" t="n">
        <v>23891.43</v>
      </c>
      <c r="T8" s="106" t="n">
        <v>28191.89</v>
      </c>
      <c r="U8" s="106" t="n">
        <v/>
      </c>
      <c r="V8" s="106" t="n">
        <v>2150.23</v>
      </c>
      <c r="W8" s="106" t="n">
        <v>2150.23</v>
      </c>
      <c r="X8" s="106" t="n">
        <v/>
      </c>
    </row>
    <row r="9">
      <c r="A9" s="106" t="inlineStr">
        <is>
          <t>Balchandra Barde</t>
        </is>
      </c>
      <c r="B9" s="106" t="inlineStr">
        <is>
          <t>JB-10277</t>
        </is>
      </c>
      <c r="C9" s="106" t="inlineStr">
        <is>
          <t>ADVAIT KEDAR GHANEKAR</t>
        </is>
      </c>
      <c r="D9" s="106" t="n">
        <v>19428</v>
      </c>
      <c r="E9" s="106" t="n">
        <v>28</v>
      </c>
      <c r="F9" s="106" t="n">
        <v>28</v>
      </c>
      <c r="G9" s="106" t="n">
        <v>0</v>
      </c>
      <c r="H9" s="106" t="n">
        <v>4</v>
      </c>
      <c r="I9" s="106" t="n">
        <v>1</v>
      </c>
      <c r="J9" s="106" t="n">
        <v>22</v>
      </c>
      <c r="K9" s="106" t="n">
        <v>27</v>
      </c>
      <c r="L9" s="106" t="n">
        <v>1</v>
      </c>
      <c r="M9" s="106" t="n">
        <v>1</v>
      </c>
      <c r="N9" s="106" t="n">
        <v>28</v>
      </c>
      <c r="O9" s="106" t="n">
        <v>19428</v>
      </c>
      <c r="P9" s="106" t="n">
        <v>2000</v>
      </c>
      <c r="Q9" s="106" t="n">
        <v>0</v>
      </c>
      <c r="R9" s="106" t="n">
        <v>0</v>
      </c>
      <c r="S9" s="106" t="n">
        <v>21428</v>
      </c>
      <c r="T9" s="106" t="n">
        <v>25285.04</v>
      </c>
      <c r="U9" s="106" t="n">
        <v/>
      </c>
      <c r="V9" s="106" t="n">
        <v>1928.52</v>
      </c>
      <c r="W9" s="106" t="n">
        <v>1928.52</v>
      </c>
      <c r="X9" s="106" t="n">
        <v/>
      </c>
    </row>
    <row r="10">
      <c r="A10" s="107" t="inlineStr">
        <is>
          <t>TOTAL</t>
        </is>
      </c>
      <c r="B10" s="107" t="n"/>
      <c r="C10" s="107" t="n"/>
      <c r="D10" s="107">
        <f>ROUND(SUM(D2:D9), 0)</f>
        <v/>
      </c>
      <c r="E10" s="107">
        <f>ROUND(SUM(E2:E9), 0)</f>
        <v/>
      </c>
      <c r="F10" s="107">
        <f>ROUND(SUM(F2:F9), 0)</f>
        <v/>
      </c>
      <c r="G10" s="107">
        <f>ROUND(SUM(G2:G9), 0)</f>
        <v/>
      </c>
      <c r="H10" s="107">
        <f>ROUND(SUM(H2:H9), 0)</f>
        <v/>
      </c>
      <c r="I10" s="107">
        <f>ROUND(SUM(I2:I9), 0)</f>
        <v/>
      </c>
      <c r="J10" s="107">
        <f>ROUND(SUM(J2:J9), 0)</f>
        <v/>
      </c>
      <c r="K10" s="107">
        <f>ROUND(SUM(K2:K9), 0)</f>
        <v/>
      </c>
      <c r="L10" s="107">
        <f>ROUND(SUM(L2:L9), 0)</f>
        <v/>
      </c>
      <c r="M10" s="107">
        <f>ROUND(SUM(M2:M9), 0)</f>
        <v/>
      </c>
      <c r="N10" s="107">
        <f>ROUND(SUM(N2:N9), 0)</f>
        <v/>
      </c>
      <c r="O10" s="107">
        <f>ROUND(SUM(O2:O9), 0)</f>
        <v/>
      </c>
      <c r="P10" s="107">
        <f>ROUND(SUM(P2:P9), 0)</f>
        <v/>
      </c>
      <c r="Q10" s="107">
        <f>ROUND(SUM(Q2:Q9), 0)</f>
        <v/>
      </c>
      <c r="R10" s="107">
        <f>ROUND(SUM(R2:R9), 0)</f>
        <v/>
      </c>
      <c r="S10" s="107">
        <f>ROUND(SUM(S2:S9), 0)</f>
        <v/>
      </c>
      <c r="T10" s="107">
        <f>ROUND(SUM(S10), 0)</f>
        <v/>
      </c>
      <c r="U10" s="107" t="n"/>
      <c r="V10" s="107">
        <f>CEILING(SUM(V2:V9), 1)</f>
        <v/>
      </c>
      <c r="W10" s="107">
        <f>CEILING(SUM(W2:W9), 1)</f>
        <v/>
      </c>
      <c r="X10" s="107">
        <f>ROUND(SUM(X2:X9),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2026-02-28T11:21:52Z</dcterms:modified>
  <cp:lastModifiedBy>Kanishk Maheshwari</cp:lastModifiedBy>
  <cp:lastPrinted>2026-01-16T12:40:56Z</cp:lastPrinted>
</cp:coreProperties>
</file>