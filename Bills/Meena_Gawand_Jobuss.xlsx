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ena G.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1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596900</colOff>
      <row>44</row>
      <rowOff>139700</rowOff>
    </from>
    <to>
      <col>5</col>
      <colOff>8292</colOff>
      <row>51</row>
      <rowOff>158750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149600" y="9693275"/>
          <a:ext cx="1259242" cy="13620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657225</colOff>
      <row>46</row>
      <rowOff>69850</rowOff>
    </from>
    <to>
      <col>7</col>
      <colOff>714375</colOff>
      <row>50</row>
      <rowOff>101600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905500" y="10013950"/>
          <a:ext cx="1609725" cy="793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1" zoomScale="85" zoomScaleNormal="85" workbookViewId="0">
      <selection activeCell="C47" sqref="C47"/>
    </sheetView>
  </sheetViews>
  <sheetFormatPr baseColWidth="8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2.6640625" bestFit="1" customWidth="1" min="6" max="6"/>
    <col width="23.33203125" customWidth="1" min="7" max="7"/>
    <col width="19.6640625" customWidth="1" min="8" max="8"/>
  </cols>
  <sheetData>
    <row r="1" ht="15" customHeight="1" thickBot="1"/>
    <row r="2" ht="89.25" customHeight="1" thickBot="1">
      <c r="A2" s="75" t="inlineStr">
        <is>
          <t>Jobuss Resources Pvt Ltd.</t>
        </is>
      </c>
      <c r="B2" s="13" t="n"/>
      <c r="C2" s="13" t="n"/>
      <c r="D2" s="13" t="n"/>
      <c r="E2" s="13" t="n"/>
      <c r="F2" s="78" t="n"/>
      <c r="G2" s="13" t="n"/>
      <c r="H2" s="14" t="n"/>
    </row>
    <row r="3" ht="17.4" customHeight="1" thickBot="1">
      <c r="A3" s="8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9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0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91" t="inlineStr">
        <is>
          <t>Reliance Corporate IT Park Ltd</t>
        </is>
      </c>
      <c r="B7" s="92" t="n"/>
      <c r="C7" s="92" t="n"/>
      <c r="D7" s="92" t="n"/>
      <c r="E7" s="93" t="n"/>
      <c r="F7" s="4" t="inlineStr">
        <is>
          <t xml:space="preserve">Bill No. : </t>
        </is>
      </c>
      <c r="G7" s="32" t="n"/>
      <c r="H7" s="5" t="n"/>
    </row>
    <row r="8">
      <c r="A8" s="94" t="inlineStr">
        <is>
          <t>Reliance Corporate Park</t>
        </is>
      </c>
      <c r="E8" s="95" t="n"/>
      <c r="F8" s="96" t="inlineStr">
        <is>
          <t>PAN: AAECJ2353C</t>
        </is>
      </c>
      <c r="H8" s="23" t="n"/>
    </row>
    <row r="9">
      <c r="A9" s="94" t="inlineStr">
        <is>
          <t>5, TTC Industrial Area ,Thane-Belapur Road,</t>
        </is>
      </c>
      <c r="E9" s="95" t="n"/>
      <c r="F9" s="96" t="inlineStr">
        <is>
          <t>GST No:  27AAECJ2353C1ZX</t>
        </is>
      </c>
      <c r="H9" s="23" t="n"/>
      <c r="I9" s="6" t="n"/>
    </row>
    <row r="10">
      <c r="A10" s="94" t="inlineStr">
        <is>
          <t>Ghansoli, Navi Mumbai - 400 701</t>
        </is>
      </c>
      <c r="E10" s="95" t="n"/>
      <c r="F10" s="96" t="inlineStr">
        <is>
          <t>PF No.- KDMAL1720777000</t>
        </is>
      </c>
      <c r="H10" s="23" t="n"/>
      <c r="I10" s="6" t="n"/>
    </row>
    <row r="11">
      <c r="A11" s="7" t="inlineStr">
        <is>
          <t xml:space="preserve">GST NO: </t>
        </is>
      </c>
      <c r="B11" s="8" t="inlineStr">
        <is>
          <t>27AABCD7169H1ZG</t>
        </is>
      </c>
      <c r="C11" s="8" t="n"/>
      <c r="D11" s="8" t="n"/>
      <c r="E11" s="9" t="n"/>
      <c r="F11" s="96" t="inlineStr">
        <is>
          <t>ESIC No.- 35000427980001001</t>
        </is>
      </c>
      <c r="H11" s="23" t="n"/>
      <c r="I11" s="6" t="n"/>
    </row>
    <row r="12">
      <c r="A12" s="7" t="inlineStr">
        <is>
          <t xml:space="preserve">PAN:  </t>
        </is>
      </c>
      <c r="B12" s="8" t="inlineStr">
        <is>
          <t>AABCD7169H</t>
        </is>
      </c>
      <c r="C12" s="8" t="n"/>
      <c r="D12" s="8" t="n"/>
      <c r="E12" s="9" t="n"/>
      <c r="F12" s="29" t="inlineStr">
        <is>
          <t xml:space="preserve">Bill Date : </t>
        </is>
      </c>
      <c r="G12" s="30" t="inlineStr">
        <is>
          <t>28-02-2026</t>
        </is>
      </c>
      <c r="H12" s="31" t="n"/>
    </row>
    <row r="13">
      <c r="A13" s="7" t="inlineStr">
        <is>
          <t xml:space="preserve">Kind Attn: </t>
        </is>
      </c>
      <c r="B13" s="8" t="inlineStr">
        <is>
          <t>Ms. Meena Gawand</t>
        </is>
      </c>
      <c r="C13" s="8" t="n"/>
      <c r="D13" s="8" t="n"/>
      <c r="E13" s="9" t="n"/>
      <c r="F13" s="50" t="inlineStr">
        <is>
          <t>Due Date:</t>
        </is>
      </c>
      <c r="G13" s="51" t="inlineStr">
        <is>
          <t>03-03-2026</t>
        </is>
      </c>
      <c r="H13" s="52" t="n"/>
    </row>
    <row r="14">
      <c r="A14" s="94" t="inlineStr">
        <is>
          <t>Work Order No: 260067981</t>
        </is>
      </c>
      <c r="E14" s="95" t="n"/>
      <c r="F14" s="97" t="inlineStr">
        <is>
          <t>SAC Code:  998513 (Contract Staffing)</t>
        </is>
      </c>
      <c r="H14" s="23" t="n"/>
    </row>
    <row r="15" ht="15" customHeight="1" thickBot="1">
      <c r="A15" s="94" t="n"/>
      <c r="E15" s="95" t="n"/>
      <c r="F15" s="97" t="inlineStr">
        <is>
          <t>Place of Service: Navi Mumbai</t>
        </is>
      </c>
      <c r="H15" s="23" t="n"/>
      <c r="I15" s="10" t="n"/>
      <c r="K15" s="98" t="n"/>
    </row>
    <row r="16" ht="15" customHeight="1" thickBot="1">
      <c r="A16" s="12" t="n"/>
      <c r="B16" s="13" t="n"/>
      <c r="C16" s="13" t="n"/>
      <c r="D16" s="13" t="n"/>
      <c r="E16" s="14" t="n"/>
      <c r="F16" s="48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9" t="inlineStr">
        <is>
          <t>Contarct staffing services for Assistance in Various Department Period: 01 Feb 2026 to 28 Feb 2026</t>
        </is>
      </c>
      <c r="B17" s="100" t="n"/>
      <c r="C17" s="100" t="n"/>
      <c r="D17" s="100" t="n"/>
      <c r="E17" s="100" t="n"/>
      <c r="F17" s="100" t="n"/>
      <c r="G17" s="101" t="n"/>
      <c r="H17" s="102" t="n">
        <v>72000</v>
      </c>
    </row>
    <row r="18">
      <c r="A18" s="18" t="n"/>
      <c r="G18" s="23" t="n"/>
      <c r="H18" s="103" t="n"/>
    </row>
    <row r="19">
      <c r="A19" s="18" t="n"/>
      <c r="G19" s="23" t="n"/>
      <c r="H19" s="103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04" t="n"/>
    </row>
    <row r="21" ht="18" customHeight="1" thickBot="1">
      <c r="A21" s="71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102" t="n">
        <v>6480</v>
      </c>
    </row>
    <row r="22" ht="15.75" customHeight="1" thickBot="1">
      <c r="A22" s="71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102" t="n">
        <v>6480</v>
      </c>
    </row>
    <row r="23" ht="15" customHeight="1">
      <c r="A23" s="18" t="n"/>
      <c r="H23" s="102" t="n">
        <v>84960</v>
      </c>
    </row>
    <row r="24" ht="16.5" customHeight="1">
      <c r="A24" s="19" t="inlineStr">
        <is>
          <t>Rupees:</t>
        </is>
      </c>
      <c r="B24" s="20" t="inlineStr">
        <is>
          <t>Eighty-Four Thousand, Nine Hundred And Sixty Only</t>
        </is>
      </c>
      <c r="H24" s="103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104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5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42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42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6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42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7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37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37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8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31">
    <mergeCell ref="A15:E15"/>
    <mergeCell ref="A22:G22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14:E14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9" t="inlineStr">
        <is>
          <t>Kind Attention Person</t>
        </is>
      </c>
      <c r="B1" s="109" t="inlineStr">
        <is>
          <t>Employee Code</t>
        </is>
      </c>
      <c r="C1" s="109" t="inlineStr">
        <is>
          <t>Employee Name</t>
        </is>
      </c>
      <c r="D1" s="109" t="inlineStr">
        <is>
          <t>Billing</t>
        </is>
      </c>
      <c r="E1" s="109" t="inlineStr">
        <is>
          <t>No of days</t>
        </is>
      </c>
      <c r="F1" s="109" t="inlineStr">
        <is>
          <t>Eligible Days</t>
        </is>
      </c>
      <c r="G1" s="109" t="inlineStr">
        <is>
          <t>No of Saturdays</t>
        </is>
      </c>
      <c r="H1" s="109" t="inlineStr">
        <is>
          <t>No of Sundays</t>
        </is>
      </c>
      <c r="I1" s="109" t="inlineStr">
        <is>
          <t>No of Holidays</t>
        </is>
      </c>
      <c r="J1" s="109" t="inlineStr">
        <is>
          <t>Total Present</t>
        </is>
      </c>
      <c r="K1" s="109" t="inlineStr">
        <is>
          <t>Total Working Days</t>
        </is>
      </c>
      <c r="L1" s="109" t="inlineStr">
        <is>
          <t>Absents this Month</t>
        </is>
      </c>
      <c r="M1" s="109" t="inlineStr">
        <is>
          <t>Adjustment of Days</t>
        </is>
      </c>
      <c r="N1" s="109" t="inlineStr">
        <is>
          <t>Total Payable Days</t>
        </is>
      </c>
      <c r="O1" s="109" t="inlineStr">
        <is>
          <t>Total Payable Billing</t>
        </is>
      </c>
      <c r="P1" s="109" t="inlineStr">
        <is>
          <t>Charges</t>
        </is>
      </c>
      <c r="Q1" s="109" t="inlineStr">
        <is>
          <t>Out of Pocket Exp</t>
        </is>
      </c>
      <c r="R1" s="109" t="inlineStr">
        <is>
          <t>Arrears</t>
        </is>
      </c>
      <c r="S1" s="109" t="inlineStr">
        <is>
          <t>Total</t>
        </is>
      </c>
      <c r="T1" s="109" t="inlineStr">
        <is>
          <t>Grand Total</t>
        </is>
      </c>
      <c r="U1" s="109" t="inlineStr">
        <is>
          <t>Remark</t>
        </is>
      </c>
      <c r="V1" s="109" t="inlineStr">
        <is>
          <t>CGST @9%</t>
        </is>
      </c>
      <c r="W1" s="109" t="inlineStr">
        <is>
          <t>SGST @9%</t>
        </is>
      </c>
      <c r="X1" s="109" t="inlineStr">
        <is>
          <t>IGST @18%</t>
        </is>
      </c>
    </row>
    <row r="2">
      <c r="A2" s="110" t="inlineStr">
        <is>
          <t>Meena Gawand</t>
        </is>
      </c>
      <c r="B2" s="110" t="inlineStr">
        <is>
          <t>JB-10115</t>
        </is>
      </c>
      <c r="C2" s="110" t="inlineStr">
        <is>
          <t>SARITA MAHADEV PATIL</t>
        </is>
      </c>
      <c r="D2" s="110" t="n">
        <v>23000</v>
      </c>
      <c r="E2" s="110" t="n">
        <v>28</v>
      </c>
      <c r="F2" s="110" t="n">
        <v>28</v>
      </c>
      <c r="G2" s="110" t="n">
        <v>4</v>
      </c>
      <c r="H2" s="110" t="n">
        <v>4</v>
      </c>
      <c r="I2" s="110" t="n">
        <v>3</v>
      </c>
      <c r="J2" s="110" t="n">
        <v>18</v>
      </c>
      <c r="K2" s="110" t="n">
        <v>29</v>
      </c>
      <c r="L2" s="110" t="n">
        <v>1</v>
      </c>
      <c r="M2" s="110" t="n">
        <v>1</v>
      </c>
      <c r="N2" s="110" t="n">
        <v>30</v>
      </c>
      <c r="O2" s="110" t="n">
        <v>24642.86</v>
      </c>
      <c r="P2" s="110" t="n">
        <v>0</v>
      </c>
      <c r="Q2" s="110" t="n">
        <v>0</v>
      </c>
      <c r="R2" s="110" t="n">
        <v>0</v>
      </c>
      <c r="S2" s="110" t="n">
        <v>24642.86</v>
      </c>
      <c r="T2" s="110" t="n">
        <v>29078.57</v>
      </c>
      <c r="U2" s="110" t="n">
        <v/>
      </c>
      <c r="V2" s="110" t="n">
        <v>2217.86</v>
      </c>
      <c r="W2" s="110" t="n">
        <v>2217.86</v>
      </c>
      <c r="X2" s="110" t="n">
        <v/>
      </c>
    </row>
    <row r="3">
      <c r="A3" s="110" t="inlineStr">
        <is>
          <t>Meena Gawand</t>
        </is>
      </c>
      <c r="B3" s="110" t="inlineStr">
        <is>
          <t>JB-10180</t>
        </is>
      </c>
      <c r="C3" s="110" t="inlineStr">
        <is>
          <t>HARSHADA VIJAY SHINDE</t>
        </is>
      </c>
      <c r="D3" s="110" t="n">
        <v>22000</v>
      </c>
      <c r="E3" s="110" t="n">
        <v>28</v>
      </c>
      <c r="F3" s="110" t="n">
        <v>28</v>
      </c>
      <c r="G3" s="110" t="n">
        <v>4</v>
      </c>
      <c r="H3" s="110" t="n">
        <v>4</v>
      </c>
      <c r="I3" s="110" t="n">
        <v>3</v>
      </c>
      <c r="J3" s="110" t="n">
        <v>19</v>
      </c>
      <c r="K3" s="110" t="n">
        <v>30</v>
      </c>
      <c r="L3" s="110" t="n">
        <v>0</v>
      </c>
      <c r="M3" s="110" t="n">
        <v>0</v>
      </c>
      <c r="N3" s="110" t="n">
        <v>30</v>
      </c>
      <c r="O3" s="110" t="n">
        <v>23571.43</v>
      </c>
      <c r="P3" s="110" t="n">
        <v>0</v>
      </c>
      <c r="Q3" s="110" t="n">
        <v>0</v>
      </c>
      <c r="R3" s="110" t="n">
        <v>0</v>
      </c>
      <c r="S3" s="110" t="n">
        <v>23571.43</v>
      </c>
      <c r="T3" s="110" t="n">
        <v>27814.29</v>
      </c>
      <c r="U3" s="110" t="n">
        <v/>
      </c>
      <c r="V3" s="110" t="n">
        <v>2121.43</v>
      </c>
      <c r="W3" s="110" t="n">
        <v>2121.43</v>
      </c>
      <c r="X3" s="110" t="n">
        <v/>
      </c>
    </row>
    <row r="4">
      <c r="A4" s="110" t="inlineStr">
        <is>
          <t>Meena Gawand</t>
        </is>
      </c>
      <c r="B4" s="110" t="inlineStr">
        <is>
          <t>AB10077</t>
        </is>
      </c>
      <c r="C4" s="110" t="inlineStr">
        <is>
          <t>DINKAR LAXMAN SALASKAR</t>
        </is>
      </c>
      <c r="D4" s="110" t="n">
        <v>22200</v>
      </c>
      <c r="E4" s="110" t="n">
        <v>28</v>
      </c>
      <c r="F4" s="110" t="n">
        <v>28</v>
      </c>
      <c r="G4" s="110" t="n">
        <v>4</v>
      </c>
      <c r="H4" s="110" t="n">
        <v>4</v>
      </c>
      <c r="I4" s="110" t="n">
        <v>3</v>
      </c>
      <c r="J4" s="110" t="n">
        <v>19</v>
      </c>
      <c r="K4" s="110" t="n">
        <v>30</v>
      </c>
      <c r="L4" s="110" t="n">
        <v>0</v>
      </c>
      <c r="M4" s="110" t="n">
        <v>0</v>
      </c>
      <c r="N4" s="110" t="n">
        <v>30</v>
      </c>
      <c r="O4" s="110" t="n">
        <v>23785.71</v>
      </c>
      <c r="P4" s="110" t="n">
        <v>0</v>
      </c>
      <c r="Q4" s="110" t="n">
        <v>0</v>
      </c>
      <c r="R4" s="110" t="n">
        <v>0</v>
      </c>
      <c r="S4" s="110" t="n">
        <v>23785.71</v>
      </c>
      <c r="T4" s="110" t="n">
        <v>28067.14</v>
      </c>
      <c r="U4" s="110" t="n">
        <v/>
      </c>
      <c r="V4" s="110" t="n">
        <v>2140.71</v>
      </c>
      <c r="W4" s="110" t="n">
        <v>2140.71</v>
      </c>
      <c r="X4" s="110" t="n">
        <v/>
      </c>
    </row>
    <row r="5">
      <c r="A5" s="111" t="inlineStr">
        <is>
          <t>TOTAL</t>
        </is>
      </c>
      <c r="B5" s="111" t="n"/>
      <c r="C5" s="111" t="n"/>
      <c r="D5" s="111">
        <f>ROUND(SUM(D2:D4), 0)</f>
        <v/>
      </c>
      <c r="E5" s="111">
        <f>ROUND(SUM(E2:E4), 0)</f>
        <v/>
      </c>
      <c r="F5" s="111">
        <f>ROUND(SUM(F2:F4), 0)</f>
        <v/>
      </c>
      <c r="G5" s="111">
        <f>ROUND(SUM(G2:G4), 0)</f>
        <v/>
      </c>
      <c r="H5" s="111">
        <f>ROUND(SUM(H2:H4), 0)</f>
        <v/>
      </c>
      <c r="I5" s="111">
        <f>ROUND(SUM(I2:I4), 0)</f>
        <v/>
      </c>
      <c r="J5" s="111">
        <f>ROUND(SUM(J2:J4), 0)</f>
        <v/>
      </c>
      <c r="K5" s="111">
        <f>ROUND(SUM(K2:K4), 0)</f>
        <v/>
      </c>
      <c r="L5" s="111">
        <f>ROUND(SUM(L2:L4), 0)</f>
        <v/>
      </c>
      <c r="M5" s="111">
        <f>ROUND(SUM(M2:M4), 0)</f>
        <v/>
      </c>
      <c r="N5" s="111">
        <f>ROUND(SUM(N2:N4), 0)</f>
        <v/>
      </c>
      <c r="O5" s="111">
        <f>ROUND(SUM(O2:O4), 0)</f>
        <v/>
      </c>
      <c r="P5" s="111">
        <f>ROUND(SUM(P2:P4), 0)</f>
        <v/>
      </c>
      <c r="Q5" s="111">
        <f>ROUND(SUM(Q2:Q4), 0)</f>
        <v/>
      </c>
      <c r="R5" s="111">
        <f>ROUND(SUM(R2:R4), 0)</f>
        <v/>
      </c>
      <c r="S5" s="111">
        <f>ROUND(SUM(S2:S4), 0)</f>
        <v/>
      </c>
      <c r="T5" s="111">
        <f>ROUND(SUM(S5), 0)</f>
        <v/>
      </c>
      <c r="U5" s="111" t="n"/>
      <c r="V5" s="111">
        <f>CEILING(SUM(V2:V4), 1)</f>
        <v/>
      </c>
      <c r="W5" s="111">
        <f>CEILING(SUM(W2:W4), 1)</f>
        <v/>
      </c>
      <c r="X5" s="111">
        <f>ROUND(SUM(X2:X4),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2026-01-01T05:55:59Z</dcterms:created>
  <dcterms:modified xsi:type="dcterms:W3CDTF">2026-02-28T10:00:09Z</dcterms:modified>
  <cp:lastModifiedBy>Kanishk Maheshwari</cp:lastModifiedBy>
  <cp:lastPrinted>2026-02-02T09:40:29Z</cp:lastPrinted>
</cp:coreProperties>
</file>