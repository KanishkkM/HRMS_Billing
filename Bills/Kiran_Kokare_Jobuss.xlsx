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Mr. Pradeep Singh Bill" sheetId="1" state="visible" r:id="rId1"/>
    <sheet name="Annexur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-mm\-yyyy"/>
    <numFmt numFmtId="165" formatCode="_(* #,##0_);_(* \(#,##0\);_(* &quot;-&quot;??_);_(@_)"/>
  </numFmts>
  <fonts count="1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MS Reference Sans Serif"/>
      <family val="2"/>
      <color rgb="FF000080"/>
      <sz val="26"/>
    </font>
    <font>
      <name val="Calibri"/>
      <family val="2"/>
      <color rgb="FF000080"/>
      <sz val="11"/>
      <scheme val="minor"/>
    </font>
    <font>
      <name val="MS Reference Sans Serif"/>
      <family val="2"/>
      <b val="1"/>
      <color theme="0"/>
      <sz val="12"/>
    </font>
    <font>
      <name val="Calibri"/>
      <family val="2"/>
      <b val="1"/>
      <color rgb="FF002060"/>
      <sz val="11"/>
      <scheme val="minor"/>
    </font>
    <font>
      <name val="Arial"/>
      <family val="2"/>
      <b val="1"/>
      <color rgb="FF222222"/>
      <sz val="10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14"/>
      <scheme val="minor"/>
    </font>
    <font>
      <name val="Arial"/>
      <family val="2"/>
      <b val="1"/>
      <color theme="1"/>
      <sz val="11"/>
    </font>
    <font>
      <name val="Calibri"/>
      <family val="2"/>
      <b val="1"/>
      <color theme="1"/>
      <sz val="13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sz val="12"/>
    </font>
    <font>
      <name val="Calibri"/>
      <family val="2"/>
      <color indexed="8"/>
      <sz val="12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43" fontId="1" fillId="0" borderId="0"/>
    <xf numFmtId="43" fontId="1" fillId="0" borderId="0"/>
  </cellStyleXfs>
  <cellXfs count="122">
    <xf numFmtId="0" fontId="0" fillId="0" borderId="0" pivotButton="0" quotePrefix="0" xfId="0"/>
    <xf numFmtId="0" fontId="6" fillId="0" borderId="4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8" fillId="0" borderId="9" applyAlignment="1" pivotButton="0" quotePrefix="0" xfId="0">
      <alignment vertical="center"/>
    </xf>
    <xf numFmtId="0" fontId="8" fillId="0" borderId="5" applyAlignment="1" pivotButton="0" quotePrefix="0" xfId="0">
      <alignment vertical="center"/>
    </xf>
    <xf numFmtId="0" fontId="4" fillId="0" borderId="0" applyAlignment="1" pivotButton="0" quotePrefix="0" xfId="0">
      <alignment horizontal="left"/>
    </xf>
    <xf numFmtId="0" fontId="7" fillId="0" borderId="4" pivotButton="0" quotePrefix="0" xfId="0"/>
    <xf numFmtId="0" fontId="7" fillId="0" borderId="0" pivotButton="0" quotePrefix="0" xfId="0"/>
    <xf numFmtId="0" fontId="7" fillId="0" borderId="10" pivotButton="0" quotePrefix="0" xfId="0"/>
    <xf numFmtId="0" fontId="8" fillId="0" borderId="9" pivotButton="0" quotePrefix="0" xfId="0"/>
    <xf numFmtId="164" fontId="8" fillId="0" borderId="0" applyAlignment="1" pivotButton="0" quotePrefix="0" xfId="0">
      <alignment horizontal="left"/>
    </xf>
    <xf numFmtId="0" fontId="8" fillId="0" borderId="5" pivotButton="0" quotePrefix="0" xfId="0"/>
    <xf numFmtId="0" fontId="4" fillId="0" borderId="0" applyAlignment="1" pivotButton="0" quotePrefix="0" xfId="0">
      <alignment vertical="center"/>
    </xf>
    <xf numFmtId="165" fontId="1" fillId="0" borderId="0" pivotButton="0" quotePrefix="0" xfId="1"/>
    <xf numFmtId="0" fontId="2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left"/>
    </xf>
    <xf numFmtId="165" fontId="12" fillId="0" borderId="17" applyAlignment="1" pivotButton="0" quotePrefix="0" xfId="1">
      <alignment vertical="center"/>
    </xf>
    <xf numFmtId="165" fontId="12" fillId="0" borderId="18" applyAlignment="1" pivotButton="0" quotePrefix="0" xfId="1">
      <alignment vertical="center"/>
    </xf>
    <xf numFmtId="0" fontId="0" fillId="0" borderId="4" pivotButton="0" quotePrefix="0" xfId="0"/>
    <xf numFmtId="0" fontId="12" fillId="0" borderId="4" applyAlignment="1" pivotButton="0" quotePrefix="0" xfId="0">
      <alignment horizontal="left" wrapText="1"/>
    </xf>
    <xf numFmtId="0" fontId="12" fillId="0" borderId="0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5" pivotButton="0" quotePrefix="0" xfId="0"/>
    <xf numFmtId="0" fontId="0" fillId="0" borderId="13" pivotButton="0" quotePrefix="0" xfId="0"/>
    <xf numFmtId="0" fontId="13" fillId="0" borderId="4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left" vertical="center" indent="1"/>
    </xf>
    <xf numFmtId="0" fontId="0" fillId="0" borderId="14" pivotButton="0" quotePrefix="0" xfId="0"/>
    <xf numFmtId="0" fontId="0" fillId="0" borderId="15" pivotButton="0" quotePrefix="0" xfId="0"/>
    <xf numFmtId="0" fontId="8" fillId="0" borderId="0" applyAlignment="1" pivotButton="0" quotePrefix="0" xfId="0">
      <alignment vertical="center"/>
    </xf>
    <xf numFmtId="0" fontId="8" fillId="0" borderId="9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12" fillId="0" borderId="0" applyAlignment="1" pivotButton="0" quotePrefix="0" xfId="0">
      <alignment horizontal="center"/>
    </xf>
    <xf numFmtId="0" fontId="12" fillId="0" borderId="5" applyAlignment="1" pivotButton="0" quotePrefix="0" xfId="0">
      <alignment horizontal="center"/>
    </xf>
    <xf numFmtId="0" fontId="13" fillId="0" borderId="4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left" vertical="top" wrapText="1"/>
    </xf>
    <xf numFmtId="0" fontId="13" fillId="0" borderId="5" applyAlignment="1" pivotButton="0" quotePrefix="0" xfId="0">
      <alignment horizontal="left" vertical="top" wrapText="1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1" fontId="0" fillId="0" borderId="0" applyAlignment="1" pivotButton="0" quotePrefix="1" xfId="0">
      <alignment horizontal="center"/>
    </xf>
    <xf numFmtId="1" fontId="0" fillId="0" borderId="5" applyAlignment="1" pivotButton="0" quotePrefix="0" xfId="0">
      <alignment horizontal="center"/>
    </xf>
    <xf numFmtId="1" fontId="0" fillId="0" borderId="14" applyAlignment="1" pivotButton="0" quotePrefix="1" xfId="0">
      <alignment horizontal="center"/>
    </xf>
    <xf numFmtId="1" fontId="0" fillId="0" borderId="15" applyAlignment="1" pivotButton="0" quotePrefix="0" xfId="0">
      <alignment horizontal="center"/>
    </xf>
    <xf numFmtId="165" fontId="12" fillId="0" borderId="11" applyAlignment="1" pivotButton="0" quotePrefix="0" xfId="1">
      <alignment vertical="center"/>
    </xf>
    <xf numFmtId="165" fontId="12" fillId="0" borderId="12" applyAlignment="1" pivotButton="0" quotePrefix="0" xfId="1">
      <alignment vertical="center"/>
    </xf>
    <xf numFmtId="165" fontId="12" fillId="0" borderId="21" applyAlignment="1" pivotButton="0" quotePrefix="0" xfId="1">
      <alignment vertical="center"/>
    </xf>
    <xf numFmtId="0" fontId="8" fillId="0" borderId="9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7" fillId="0" borderId="4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10" applyAlignment="1" pivotButton="0" quotePrefix="0" xfId="0">
      <alignment horizontal="left"/>
    </xf>
    <xf numFmtId="0" fontId="8" fillId="0" borderId="9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8" fillId="0" borderId="5" applyAlignment="1" pivotButton="0" quotePrefix="0" xfId="0">
      <alignment horizontal="left"/>
    </xf>
    <xf numFmtId="0" fontId="9" fillId="0" borderId="2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0" fillId="0" borderId="5" applyAlignment="1" pivotButton="0" quotePrefix="0" xfId="0">
      <alignment horizontal="left" vertical="center" wrapText="1"/>
    </xf>
    <xf numFmtId="0" fontId="10" fillId="0" borderId="13" applyAlignment="1" pivotButton="0" quotePrefix="0" xfId="0">
      <alignment horizontal="left" vertical="center" wrapText="1"/>
    </xf>
    <xf numFmtId="0" fontId="10" fillId="0" borderId="14" applyAlignment="1" pivotButton="0" quotePrefix="0" xfId="0">
      <alignment horizontal="left" vertical="center" wrapText="1"/>
    </xf>
    <xf numFmtId="0" fontId="10" fillId="0" borderId="15" applyAlignment="1" pivotButton="0" quotePrefix="0" xfId="0">
      <alignment horizontal="left" vertical="center" wrapText="1"/>
    </xf>
    <xf numFmtId="165" fontId="11" fillId="0" borderId="11" applyAlignment="1" pivotButton="0" quotePrefix="0" xfId="1">
      <alignment vertical="center"/>
    </xf>
    <xf numFmtId="165" fontId="11" fillId="0" borderId="12" applyAlignment="1" pivotButton="0" quotePrefix="0" xfId="1">
      <alignment vertical="center"/>
    </xf>
    <xf numFmtId="165" fontId="11" fillId="0" borderId="16" applyAlignment="1" pivotButton="0" quotePrefix="0" xfId="1">
      <alignment vertical="center"/>
    </xf>
    <xf numFmtId="0" fontId="12" fillId="0" borderId="17" applyAlignment="1" pivotButton="0" quotePrefix="0" xfId="0">
      <alignment horizontal="left"/>
    </xf>
    <xf numFmtId="0" fontId="12" fillId="0" borderId="18" applyAlignment="1" pivotButton="0" quotePrefix="0" xfId="0">
      <alignment horizontal="left"/>
    </xf>
    <xf numFmtId="0" fontId="7" fillId="0" borderId="6" applyAlignment="1" pivotButton="0" quotePrefix="0" xfId="0">
      <alignment horizontal="left"/>
    </xf>
    <xf numFmtId="0" fontId="7" fillId="0" borderId="7" applyAlignment="1" pivotButton="0" quotePrefix="0" xfId="0">
      <alignment horizontal="left"/>
    </xf>
    <xf numFmtId="0" fontId="7" fillId="0" borderId="8" applyAlignment="1" pivotButton="0" quotePrefix="0" xfId="0">
      <alignment horizontal="left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right"/>
    </xf>
    <xf numFmtId="0" fontId="5" fillId="2" borderId="2" applyAlignment="1" pivotButton="0" quotePrefix="0" xfId="0">
      <alignment horizontal="right"/>
    </xf>
    <xf numFmtId="0" fontId="5" fillId="2" borderId="3" applyAlignment="1" pivotButton="0" quotePrefix="0" xfId="0">
      <alignment horizontal="right"/>
    </xf>
    <xf numFmtId="0" fontId="6" fillId="0" borderId="1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5" fillId="2" borderId="25" applyAlignment="1" pivotButton="0" quotePrefix="0" xfId="0">
      <alignment horizontal="right"/>
    </xf>
    <xf numFmtId="0" fontId="6" fillId="0" borderId="25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7" fillId="0" borderId="22" applyAlignment="1" pivotButton="0" quotePrefix="0" xfId="0">
      <alignment horizontal="left"/>
    </xf>
    <xf numFmtId="0" fontId="0" fillId="0" borderId="7" pivotButton="0" quotePrefix="0" xfId="0"/>
    <xf numFmtId="0" fontId="0" fillId="0" borderId="8" pivotButton="0" quotePrefix="0" xfId="0"/>
    <xf numFmtId="0" fontId="7" fillId="0" borderId="26" applyAlignment="1" pivotButton="0" quotePrefix="0" xfId="0">
      <alignment horizontal="left"/>
    </xf>
    <xf numFmtId="0" fontId="0" fillId="0" borderId="10" pivotButton="0" quotePrefix="0" xfId="0"/>
    <xf numFmtId="0" fontId="8" fillId="0" borderId="27" applyAlignment="1" pivotButton="0" quotePrefix="0" xfId="0">
      <alignment horizontal="left" vertical="center"/>
    </xf>
    <xf numFmtId="164" fontId="8" fillId="0" borderId="0" applyAlignment="1" pivotButton="0" quotePrefix="0" xfId="0">
      <alignment horizontal="left"/>
    </xf>
    <xf numFmtId="0" fontId="8" fillId="0" borderId="27" applyAlignment="1" pivotButton="0" quotePrefix="0" xfId="0">
      <alignment horizontal="left"/>
    </xf>
    <xf numFmtId="165" fontId="1" fillId="0" borderId="0" pivotButton="0" quotePrefix="0" xfId="1"/>
    <xf numFmtId="0" fontId="10" fillId="0" borderId="16" applyAlignment="1" pivotButton="0" quotePrefix="0" xfId="0">
      <alignment horizontal="left" vertical="center" wrapText="1"/>
    </xf>
    <xf numFmtId="165" fontId="11" fillId="0" borderId="25" applyAlignment="1" pivotButton="0" quotePrefix="0" xfId="1">
      <alignment vertical="center"/>
    </xf>
    <xf numFmtId="0" fontId="0" fillId="0" borderId="12" pivotButton="0" quotePrefix="0" xfId="0"/>
    <xf numFmtId="0" fontId="0" fillId="0" borderId="16" pivotButton="0" quotePrefix="0" xfId="0"/>
    <xf numFmtId="0" fontId="0" fillId="0" borderId="29" pivotButton="0" quotePrefix="0" xfId="0"/>
    <xf numFmtId="0" fontId="0" fillId="0" borderId="30" pivotButton="0" quotePrefix="0" xfId="0"/>
    <xf numFmtId="165" fontId="12" fillId="0" borderId="17" applyAlignment="1" pivotButton="0" quotePrefix="0" xfId="1">
      <alignment vertical="center"/>
    </xf>
    <xf numFmtId="0" fontId="0" fillId="0" borderId="33" pivotButton="0" quotePrefix="0" xfId="0"/>
    <xf numFmtId="0" fontId="0" fillId="0" borderId="34" pivotButton="0" quotePrefix="0" xfId="0"/>
    <xf numFmtId="165" fontId="12" fillId="0" borderId="18" applyAlignment="1" pivotButton="0" quotePrefix="0" xfId="1">
      <alignment vertical="center"/>
    </xf>
    <xf numFmtId="165" fontId="12" fillId="0" borderId="28" applyAlignment="1" pivotButton="0" quotePrefix="0" xfId="1">
      <alignment vertical="center"/>
    </xf>
    <xf numFmtId="0" fontId="0" fillId="0" borderId="21" pivotButton="0" quotePrefix="0" xfId="0"/>
    <xf numFmtId="0" fontId="2" fillId="0" borderId="25" pivotButton="0" quotePrefix="0" xfId="0"/>
    <xf numFmtId="1" fontId="0" fillId="0" borderId="5" applyAlignment="1" pivotButton="0" quotePrefix="1" xfId="0">
      <alignment horizontal="center"/>
    </xf>
    <xf numFmtId="1" fontId="0" fillId="0" borderId="15" applyAlignment="1" pivotButton="0" quotePrefix="1" xfId="0">
      <alignment horizontal="center"/>
    </xf>
    <xf numFmtId="0" fontId="13" fillId="0" borderId="12" applyAlignment="1" pivotButton="0" quotePrefix="0" xfId="0">
      <alignment horizontal="left" vertical="top" wrapText="1"/>
    </xf>
    <xf numFmtId="0" fontId="16" fillId="3" borderId="35" applyAlignment="1" pivotButton="0" quotePrefix="0" xfId="0">
      <alignment horizontal="center" vertical="center" wrapText="1"/>
    </xf>
    <xf numFmtId="0" fontId="0" fillId="0" borderId="35" pivotButton="0" quotePrefix="0" xfId="0"/>
    <xf numFmtId="0" fontId="16" fillId="4" borderId="35" applyAlignment="1" pivotButton="0" quotePrefix="0" xfId="0">
      <alignment horizontal="center" vertical="center" wrapText="1"/>
    </xf>
  </cellXfs>
  <cellStyles count="3">
    <cellStyle name="Normal" xfId="0" builtinId="0"/>
    <cellStyle name="Comma 2" xfId="1"/>
    <cellStyle name="Comma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4</col>
      <colOff>117475</colOff>
      <row>45</row>
      <rowOff>79375</rowOff>
    </from>
    <to>
      <col>5</col>
      <colOff>582295</colOff>
      <row>52</row>
      <rowOff>101600</rowOff>
    </to>
    <pic>
      <nvPicPr>
        <cNvPr id="3" name="Picture 2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3584575" y="9547225"/>
          <a:ext cx="1341120" cy="131127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6</col>
      <colOff>876300</colOff>
      <row>46</row>
      <rowOff>0</rowOff>
    </from>
    <to>
      <col>7</col>
      <colOff>450850</colOff>
      <row>51</row>
      <rowOff>0</rowOff>
    </to>
    <pic>
      <nvPicPr>
        <cNvPr id="4" name="Picture 3"/>
        <cNvPicPr>
          <a:picLocks noChangeAspect="1"/>
        </cNvPicPr>
      </nvPicPr>
      <blipFill>
        <a:blip r:embed="rId2"/>
        <a:srcRect/>
        <a:stretch>
          <a:fillRect/>
        </a:stretch>
      </blipFill>
      <spPr bwMode="auto">
        <a:xfrm>
          <a:off x="6089650" y="9652000"/>
          <a:ext cx="1377950" cy="9207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8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</row>
      <rowOff>0</rowOff>
    </from>
    <ext cx="1190625" cy="1190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K62"/>
  <sheetViews>
    <sheetView tabSelected="1" topLeftCell="A24" zoomScaleNormal="98" workbookViewId="0">
      <selection activeCell="B24" sqref="B24"/>
    </sheetView>
  </sheetViews>
  <sheetFormatPr baseColWidth="8" defaultRowHeight="14.4"/>
  <cols>
    <col width="10.88671875" customWidth="1" min="1" max="1"/>
    <col width="10" customWidth="1" min="2" max="2"/>
    <col width="18.88671875" customWidth="1" min="3" max="3"/>
    <col width="13.5546875" customWidth="1" min="4" max="4"/>
    <col width="12.5546875" customWidth="1" min="5" max="5"/>
    <col width="12.33203125" customWidth="1" min="6" max="6"/>
    <col width="25.88671875" customWidth="1" min="7" max="7"/>
    <col width="24.5546875" customWidth="1" min="8" max="8"/>
  </cols>
  <sheetData>
    <row r="1" ht="15" customHeight="1" thickBot="1"/>
    <row r="2" ht="89.25" customHeight="1" thickBot="1">
      <c r="A2" s="78" t="inlineStr">
        <is>
          <t>Jobuss Resources Pvt Ltd.</t>
        </is>
      </c>
      <c r="B2" s="16" t="n"/>
      <c r="C2" s="16" t="n"/>
      <c r="D2" s="16" t="n"/>
      <c r="E2" s="16" t="n"/>
      <c r="F2" s="81" t="n"/>
      <c r="G2" s="16" t="n"/>
      <c r="H2" s="17" t="n"/>
    </row>
    <row r="3" ht="17.4" customHeight="1" thickBot="1">
      <c r="A3" s="91" t="inlineStr">
        <is>
          <t>Private Limited</t>
        </is>
      </c>
      <c r="B3" s="16" t="n"/>
      <c r="C3" s="16" t="n"/>
      <c r="D3" s="16" t="n"/>
      <c r="E3" s="16" t="n"/>
      <c r="F3" s="16" t="n"/>
      <c r="G3" s="16" t="n"/>
      <c r="H3" s="17" t="n"/>
    </row>
    <row r="4" ht="15" customHeight="1" thickBot="1">
      <c r="A4" s="92" t="inlineStr">
        <is>
          <t>Add:- 1106, Sureshwari Techno IT Park, Eskay Resort, Borivali West Mumbai- 400092</t>
        </is>
      </c>
      <c r="B4" s="16" t="n"/>
      <c r="C4" s="16" t="n"/>
      <c r="D4" s="16" t="n"/>
      <c r="E4" s="16" t="n"/>
      <c r="F4" s="16" t="n"/>
      <c r="G4" s="16" t="n"/>
      <c r="H4" s="17" t="n"/>
    </row>
    <row r="5" ht="15" customHeight="1" thickBot="1">
      <c r="A5" s="1" t="n"/>
      <c r="B5" s="2" t="n"/>
      <c r="C5" s="2" t="n"/>
      <c r="D5" s="2" t="n"/>
      <c r="E5" s="2" t="n"/>
      <c r="F5" s="2" t="n"/>
      <c r="G5" s="2" t="n"/>
      <c r="H5" s="3" t="n"/>
    </row>
    <row r="6" ht="15" customHeight="1" thickBot="1">
      <c r="A6" s="93" t="inlineStr">
        <is>
          <t>Original For Recepient</t>
        </is>
      </c>
      <c r="B6" s="16" t="n"/>
      <c r="C6" s="16" t="n"/>
      <c r="D6" s="16" t="n"/>
      <c r="E6" s="16" t="n"/>
      <c r="F6" s="16" t="n"/>
      <c r="G6" s="16" t="n"/>
      <c r="H6" s="17" t="n"/>
    </row>
    <row r="7" ht="15" customHeight="1" thickTop="1">
      <c r="A7" s="94" t="inlineStr">
        <is>
          <t>Hathway Digital Limited</t>
        </is>
      </c>
      <c r="B7" s="95" t="n"/>
      <c r="C7" s="95" t="n"/>
      <c r="D7" s="95" t="n"/>
      <c r="E7" s="96" t="n"/>
      <c r="F7" s="4" t="inlineStr">
        <is>
          <t>Bill No. :</t>
        </is>
      </c>
      <c r="G7" s="33" t="n"/>
      <c r="H7" s="5" t="n"/>
    </row>
    <row r="8">
      <c r="A8" s="97" t="inlineStr">
        <is>
          <t>802, 8th Floor, Interface- 11,</t>
        </is>
      </c>
      <c r="E8" s="98" t="n"/>
      <c r="F8" s="99" t="inlineStr">
        <is>
          <t>PAN: AAECJ2353C</t>
        </is>
      </c>
      <c r="H8" s="27" t="n"/>
    </row>
    <row r="9">
      <c r="A9" s="97" t="inlineStr">
        <is>
          <t>Link Road, Malad West,</t>
        </is>
      </c>
      <c r="E9" s="98" t="n"/>
      <c r="F9" s="99" t="inlineStr">
        <is>
          <t>GST No:  27AAECJ2353C1ZX</t>
        </is>
      </c>
      <c r="H9" s="27" t="n"/>
      <c r="I9" s="6" t="n"/>
    </row>
    <row r="10">
      <c r="A10" s="97" t="inlineStr">
        <is>
          <t>Mumbai, Maharashtra, 400064</t>
        </is>
      </c>
      <c r="E10" s="98" t="n"/>
      <c r="F10" s="99" t="inlineStr">
        <is>
          <t>PF No.- KDMAL1720777000</t>
        </is>
      </c>
      <c r="H10" s="27" t="n"/>
      <c r="I10" s="6" t="n"/>
    </row>
    <row r="11">
      <c r="A11" s="7" t="inlineStr">
        <is>
          <t xml:space="preserve">GST NO: </t>
        </is>
      </c>
      <c r="B11" s="8" t="inlineStr">
        <is>
          <t>27AACCV5591N2ZL</t>
        </is>
      </c>
      <c r="C11" s="8" t="n"/>
      <c r="D11" s="8" t="n"/>
      <c r="E11" s="9" t="n"/>
      <c r="F11" s="99" t="inlineStr">
        <is>
          <t>ESIC No.- 35000427980001001</t>
        </is>
      </c>
      <c r="H11" s="27" t="n"/>
      <c r="I11" s="6" t="n"/>
    </row>
    <row r="12">
      <c r="A12" s="7" t="inlineStr">
        <is>
          <t xml:space="preserve">PAN: </t>
        </is>
      </c>
      <c r="B12" s="8" t="inlineStr">
        <is>
          <t xml:space="preserve"> AACCV5591N</t>
        </is>
      </c>
      <c r="C12" s="8" t="n"/>
      <c r="D12" s="8" t="n"/>
      <c r="E12" s="9" t="n"/>
      <c r="F12" s="10" t="inlineStr">
        <is>
          <t>Bill Date :</t>
        </is>
      </c>
      <c r="G12" s="100" t="inlineStr">
        <is>
          <t>27-02-2026</t>
        </is>
      </c>
      <c r="H12" s="12" t="n"/>
    </row>
    <row r="13">
      <c r="A13" s="7" t="inlineStr">
        <is>
          <t xml:space="preserve">Kind Attn: </t>
        </is>
      </c>
      <c r="B13" s="8" t="inlineStr">
        <is>
          <t>Mr. Kiran Kokare</t>
        </is>
      </c>
      <c r="C13" s="8" t="n"/>
      <c r="D13" s="8" t="n"/>
      <c r="E13" s="9" t="n"/>
      <c r="F13" s="54" t="inlineStr">
        <is>
          <t xml:space="preserve">Due Date: </t>
        </is>
      </c>
      <c r="G13" s="55" t="inlineStr">
        <is>
          <t>02-03-2026</t>
        </is>
      </c>
      <c r="H13" s="56" t="n"/>
    </row>
    <row r="14">
      <c r="A14" s="97" t="n"/>
      <c r="E14" s="98" t="n"/>
      <c r="F14" s="101" t="inlineStr">
        <is>
          <t>SAC Code:  998512 (Contract Staffing Services)</t>
        </is>
      </c>
      <c r="H14" s="27" t="n"/>
    </row>
    <row r="15" ht="15" customHeight="1" thickBot="1">
      <c r="A15" s="97" t="n"/>
      <c r="E15" s="98" t="n"/>
      <c r="F15" s="101" t="inlineStr">
        <is>
          <t>Place of Service: Mumbai</t>
        </is>
      </c>
      <c r="H15" s="27" t="n"/>
      <c r="I15" s="13" t="n"/>
      <c r="K15" s="102" t="n"/>
    </row>
    <row r="16" ht="18.6" customHeight="1" thickBot="1">
      <c r="A16" s="42" t="n"/>
      <c r="B16" s="63" t="n"/>
      <c r="C16" s="16" t="n"/>
      <c r="D16" s="16" t="n"/>
      <c r="E16" s="17" t="n"/>
      <c r="F16" s="43" t="inlineStr">
        <is>
          <t xml:space="preserve">Vendor Code: </t>
        </is>
      </c>
      <c r="G16" s="19" t="n">
        <v>3347687</v>
      </c>
      <c r="H16" s="17" t="n"/>
    </row>
    <row r="17" ht="16.5" customHeight="1">
      <c r="A17" s="103" t="inlineStr">
        <is>
          <t>Contract staffing services for Assistance in Respective Department Period: 26 Jan 2026 to 25 Feb 2026</t>
        </is>
      </c>
      <c r="G17" s="27" t="n"/>
      <c r="H17" s="104" t="n">
        <v>230824</v>
      </c>
    </row>
    <row r="18">
      <c r="A18" s="22" t="n"/>
      <c r="G18" s="27" t="n"/>
      <c r="H18" s="105" t="n"/>
    </row>
    <row r="19">
      <c r="A19" s="22" t="n"/>
      <c r="G19" s="27" t="n"/>
      <c r="H19" s="105" t="n"/>
    </row>
    <row r="20" ht="15" customHeight="1" thickBot="1">
      <c r="A20" s="28" t="n"/>
      <c r="B20" s="31" t="n"/>
      <c r="C20" s="31" t="n"/>
      <c r="D20" s="31" t="n"/>
      <c r="E20" s="31" t="n"/>
      <c r="F20" s="31" t="n"/>
      <c r="G20" s="32" t="n"/>
      <c r="H20" s="106" t="n"/>
    </row>
    <row r="21" ht="15.6" customHeight="1">
      <c r="A21" s="73" t="inlineStr">
        <is>
          <t>Add : CGST @ 9%</t>
        </is>
      </c>
      <c r="B21" s="107" t="n"/>
      <c r="C21" s="107" t="n"/>
      <c r="D21" s="107" t="n"/>
      <c r="E21" s="107" t="n"/>
      <c r="F21" s="107" t="n"/>
      <c r="G21" s="108" t="n"/>
      <c r="H21" s="109" t="n">
        <v>20774</v>
      </c>
    </row>
    <row r="22" ht="16.2" customHeight="1" thickBot="1">
      <c r="A22" s="74" t="inlineStr">
        <is>
          <t>Add : SGST @ 9%</t>
        </is>
      </c>
      <c r="B22" s="110" t="n"/>
      <c r="C22" s="110" t="n"/>
      <c r="D22" s="110" t="n"/>
      <c r="E22" s="110" t="n"/>
      <c r="F22" s="110" t="n"/>
      <c r="G22" s="111" t="n"/>
      <c r="H22" s="112" t="n">
        <v>20774</v>
      </c>
    </row>
    <row r="23">
      <c r="A23" s="22" t="n"/>
      <c r="H23" s="113" t="n">
        <v>272372</v>
      </c>
    </row>
    <row r="24" ht="15.6" customHeight="1">
      <c r="A24" s="23" t="inlineStr">
        <is>
          <t>Rupees:</t>
        </is>
      </c>
      <c r="B24" s="24" t="inlineStr">
        <is>
          <t>Two Lakh, Seventy-Two Thousand, Three Hundred And Seventy-Two Only</t>
        </is>
      </c>
      <c r="H24" s="105" t="n"/>
    </row>
    <row r="25" ht="15" customHeight="1" thickBot="1">
      <c r="A25" s="25" t="n"/>
      <c r="B25" s="26" t="n"/>
      <c r="C25" s="26" t="n"/>
      <c r="D25" s="26" t="n"/>
      <c r="E25" s="26" t="n"/>
      <c r="F25" s="26" t="n"/>
      <c r="G25" s="26" t="n"/>
      <c r="H25" s="114" t="n"/>
    </row>
    <row r="26" ht="15" customHeight="1" thickTop="1">
      <c r="A26" s="22" t="n"/>
      <c r="H26" s="27" t="n"/>
    </row>
    <row r="27">
      <c r="A27" s="22" t="n"/>
      <c r="H27" s="27" t="n"/>
    </row>
    <row r="28">
      <c r="A28" s="22" t="n"/>
      <c r="H28" s="27" t="n"/>
    </row>
    <row r="29">
      <c r="A29" s="22" t="n"/>
      <c r="H29" s="27" t="n"/>
    </row>
    <row r="30">
      <c r="A30" s="22" t="n"/>
      <c r="H30" s="27" t="n"/>
    </row>
    <row r="31" ht="15" customHeight="1" thickBot="1">
      <c r="A31" s="22" t="n"/>
      <c r="H31" s="27" t="n"/>
    </row>
    <row r="32" ht="15" customHeight="1" thickBot="1">
      <c r="A32" s="115" t="inlineStr">
        <is>
          <t>Bank Details:</t>
        </is>
      </c>
      <c r="B32" s="16" t="n"/>
      <c r="C32" s="17" t="n"/>
      <c r="H32" s="27" t="n"/>
    </row>
    <row r="33">
      <c r="A33" s="22" t="inlineStr">
        <is>
          <t>Name:</t>
        </is>
      </c>
      <c r="B33" s="46" t="inlineStr">
        <is>
          <t>Jobuss Resources Pvt. Ltd.</t>
        </is>
      </c>
      <c r="C33" s="27" t="n"/>
      <c r="H33" s="27" t="n"/>
    </row>
    <row r="34">
      <c r="A34" s="22" t="inlineStr">
        <is>
          <t>Bank Name:</t>
        </is>
      </c>
      <c r="B34" s="46" t="inlineStr">
        <is>
          <t>ICICI Bank</t>
        </is>
      </c>
      <c r="C34" s="27" t="n"/>
      <c r="H34" s="27" t="n"/>
    </row>
    <row r="35">
      <c r="A35" s="22" t="inlineStr">
        <is>
          <t>A/c No.:</t>
        </is>
      </c>
      <c r="B35" s="116" t="inlineStr">
        <is>
          <t>120905000960</t>
        </is>
      </c>
      <c r="C35" s="27" t="n"/>
      <c r="H35" s="27" t="n"/>
    </row>
    <row r="36">
      <c r="A36" s="22" t="inlineStr">
        <is>
          <t>IFSC Code:</t>
        </is>
      </c>
      <c r="B36" s="46" t="inlineStr">
        <is>
          <t>ICIC0001209</t>
        </is>
      </c>
      <c r="C36" s="27" t="n"/>
      <c r="H36" s="27" t="n"/>
    </row>
    <row r="37" ht="15" customHeight="1" thickBot="1">
      <c r="A37" s="28" t="inlineStr">
        <is>
          <t>MICR No:</t>
        </is>
      </c>
      <c r="B37" s="117" t="inlineStr">
        <is>
          <t>400229195</t>
        </is>
      </c>
      <c r="C37" s="32" t="n"/>
      <c r="H37" s="27" t="n"/>
    </row>
    <row r="38">
      <c r="A38" s="22" t="n"/>
      <c r="H38" s="27" t="n"/>
    </row>
    <row r="39">
      <c r="A39" s="22" t="n"/>
      <c r="H39" s="27" t="n"/>
    </row>
    <row r="40">
      <c r="A40" s="22" t="n"/>
      <c r="H40" s="27" t="n"/>
    </row>
    <row r="41">
      <c r="A41" s="22" t="n"/>
      <c r="H41" s="27" t="n"/>
    </row>
    <row r="42">
      <c r="A42" s="22" t="n"/>
      <c r="H42" s="27" t="n"/>
    </row>
    <row r="43">
      <c r="A43" s="22" t="n"/>
      <c r="H43" s="27" t="n"/>
    </row>
    <row r="44">
      <c r="A44" s="22" t="n"/>
      <c r="H44" s="27" t="n"/>
    </row>
    <row r="45" ht="15.6" customHeight="1">
      <c r="A45" s="22" t="n"/>
      <c r="G45" s="38" t="inlineStr">
        <is>
          <t xml:space="preserve">    For Jobuss Resources Pvt. Ltd.</t>
        </is>
      </c>
      <c r="H45" s="27" t="n"/>
    </row>
    <row r="46">
      <c r="A46" s="22" t="n"/>
      <c r="H46" s="27" t="n"/>
    </row>
    <row r="47">
      <c r="A47" s="22" t="n"/>
      <c r="H47" s="27" t="n"/>
    </row>
    <row r="48">
      <c r="A48" s="22" t="n"/>
      <c r="H48" s="27" t="n"/>
    </row>
    <row r="49">
      <c r="A49" s="22" t="n"/>
      <c r="H49" s="27" t="n"/>
    </row>
    <row r="50">
      <c r="A50" s="22" t="n"/>
      <c r="H50" s="27" t="n"/>
    </row>
    <row r="51">
      <c r="A51" s="22" t="n"/>
      <c r="H51" s="27" t="n"/>
    </row>
    <row r="52">
      <c r="A52" s="22" t="n"/>
      <c r="H52" s="27" t="n"/>
    </row>
    <row r="53" ht="15.6" customHeight="1">
      <c r="A53" s="22" t="n"/>
      <c r="G53" s="38" t="inlineStr">
        <is>
          <t xml:space="preserve">            Authorized Signatory</t>
        </is>
      </c>
      <c r="H53" s="27" t="n"/>
    </row>
    <row r="54" ht="15.6" customHeight="1">
      <c r="A54" s="22" t="n"/>
      <c r="G54" s="24" t="n"/>
      <c r="H54" s="27" t="n"/>
    </row>
    <row r="55" ht="15.6" customHeight="1">
      <c r="A55" s="22" t="n"/>
      <c r="G55" s="24" t="n"/>
      <c r="H55" s="27" t="n"/>
    </row>
    <row r="56" ht="15.6" customHeight="1">
      <c r="A56" s="22" t="n"/>
      <c r="G56" s="24" t="n"/>
      <c r="H56" s="27" t="n"/>
    </row>
    <row r="57" ht="15.6" customHeight="1">
      <c r="A57" s="22" t="n"/>
      <c r="G57" s="24" t="n"/>
      <c r="H57" s="27" t="n"/>
    </row>
    <row r="58">
      <c r="A58" s="22" t="n"/>
      <c r="H58" s="27" t="n"/>
    </row>
    <row r="59" ht="15.6" customHeight="1">
      <c r="A59" s="29" t="inlineStr">
        <is>
          <t>●   Early Remittance is Solicited.</t>
        </is>
      </c>
      <c r="B59" s="30" t="n"/>
      <c r="H59" s="27" t="n"/>
    </row>
    <row r="60" ht="15.75" customHeight="1">
      <c r="A60" s="118" t="inlineStr">
        <is>
          <t xml:space="preserve">  ●   GST No 27AAECJ2353C1ZX &amp; SAC Code 998512 Category: Employment Services including personnel search/referral service &amp; Labour Supply Service. Sub Category: Contract Staffing Services.</t>
        </is>
      </c>
      <c r="H60" s="27" t="n"/>
    </row>
    <row r="61" ht="22.5" customHeight="1">
      <c r="A61" s="22" t="n"/>
      <c r="H61" s="27" t="n"/>
    </row>
    <row r="62" ht="15" customHeight="1" thickBot="1">
      <c r="A62" s="28" t="n"/>
      <c r="B62" s="31" t="n"/>
      <c r="C62" s="31" t="n"/>
      <c r="D62" s="31" t="n"/>
      <c r="E62" s="31" t="n"/>
      <c r="F62" s="31" t="n"/>
      <c r="G62" s="31" t="n"/>
      <c r="H62" s="32" t="n"/>
    </row>
  </sheetData>
  <mergeCells count="32">
    <mergeCell ref="B16:C16"/>
    <mergeCell ref="A15:E15"/>
    <mergeCell ref="A22:G22"/>
    <mergeCell ref="F8:H8"/>
    <mergeCell ref="F2:H2"/>
    <mergeCell ref="A6:H6"/>
    <mergeCell ref="A32:C32"/>
    <mergeCell ref="A7:E7"/>
    <mergeCell ref="H17:H20"/>
    <mergeCell ref="G53:H53"/>
    <mergeCell ref="F9:H9"/>
    <mergeCell ref="H23:H25"/>
    <mergeCell ref="A3:H3"/>
    <mergeCell ref="F14:H14"/>
    <mergeCell ref="A2:E2"/>
    <mergeCell ref="B34:C34"/>
    <mergeCell ref="B37:C37"/>
    <mergeCell ref="A17:G20"/>
    <mergeCell ref="G45:H45"/>
    <mergeCell ref="A14:E14"/>
    <mergeCell ref="A8:E8"/>
    <mergeCell ref="F11:H11"/>
    <mergeCell ref="A4:H4"/>
    <mergeCell ref="F10:H10"/>
    <mergeCell ref="A60:H61"/>
    <mergeCell ref="B33:C33"/>
    <mergeCell ref="A10:E10"/>
    <mergeCell ref="A21:G21"/>
    <mergeCell ref="B36:C36"/>
    <mergeCell ref="F15:H15"/>
    <mergeCell ref="B35:C35"/>
    <mergeCell ref="A9:E9"/>
  </mergeCells>
  <pageMargins left="0.7086614173228347" right="0.7086614173228347" top="0.7480314960629921" bottom="0.7480314960629921" header="0.3149606299212598" footer="0.3149606299212598"/>
  <pageSetup orientation="portrait" scale="67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30" customHeight="1">
      <c r="A1" s="119" t="inlineStr">
        <is>
          <t>Kind Attention Person</t>
        </is>
      </c>
      <c r="B1" s="119" t="inlineStr">
        <is>
          <t>Working At</t>
        </is>
      </c>
      <c r="C1" s="119" t="inlineStr">
        <is>
          <t>Employee Code</t>
        </is>
      </c>
      <c r="D1" s="119" t="inlineStr">
        <is>
          <t>Employee Name</t>
        </is>
      </c>
      <c r="E1" s="119" t="inlineStr">
        <is>
          <t>Billing</t>
        </is>
      </c>
      <c r="F1" s="119" t="inlineStr">
        <is>
          <t>No of days</t>
        </is>
      </c>
      <c r="G1" s="119" t="inlineStr">
        <is>
          <t>Eligible Days</t>
        </is>
      </c>
      <c r="H1" s="119" t="inlineStr">
        <is>
          <t>No of Saturdays</t>
        </is>
      </c>
      <c r="I1" s="119" t="inlineStr">
        <is>
          <t>No of Sundays</t>
        </is>
      </c>
      <c r="J1" s="119" t="inlineStr">
        <is>
          <t>No of Holidays</t>
        </is>
      </c>
      <c r="K1" s="119" t="inlineStr">
        <is>
          <t>Total Present</t>
        </is>
      </c>
      <c r="L1" s="119" t="inlineStr">
        <is>
          <t>Total Working Days</t>
        </is>
      </c>
      <c r="M1" s="119" t="inlineStr">
        <is>
          <t>Absents this Month</t>
        </is>
      </c>
      <c r="N1" s="119" t="inlineStr">
        <is>
          <t>Adjustment of Days</t>
        </is>
      </c>
      <c r="O1" s="119" t="inlineStr">
        <is>
          <t>Total Payable Days</t>
        </is>
      </c>
      <c r="P1" s="119" t="inlineStr">
        <is>
          <t>Total Payable Billing</t>
        </is>
      </c>
      <c r="Q1" s="119" t="inlineStr">
        <is>
          <t>Charges</t>
        </is>
      </c>
      <c r="R1" s="119" t="inlineStr">
        <is>
          <t>Out of Pocket Exp</t>
        </is>
      </c>
      <c r="S1" s="119" t="inlineStr">
        <is>
          <t>Arrears</t>
        </is>
      </c>
      <c r="T1" s="119" t="inlineStr">
        <is>
          <t>Total</t>
        </is>
      </c>
      <c r="U1" s="119" t="inlineStr">
        <is>
          <t>CGST @9%</t>
        </is>
      </c>
      <c r="V1" s="119" t="inlineStr">
        <is>
          <t>SGST @9%</t>
        </is>
      </c>
      <c r="W1" s="119" t="inlineStr">
        <is>
          <t>IGST @18%</t>
        </is>
      </c>
      <c r="X1" s="119" t="inlineStr">
        <is>
          <t>Grand Total</t>
        </is>
      </c>
      <c r="Y1" s="119" t="inlineStr">
        <is>
          <t>Remark</t>
        </is>
      </c>
    </row>
    <row r="2">
      <c r="A2" s="120" t="inlineStr">
        <is>
          <t>Kiran Kokare</t>
        </is>
      </c>
      <c r="B2" s="120" t="inlineStr">
        <is>
          <t>Hathway Digital Ltd.</t>
        </is>
      </c>
      <c r="C2" s="120" t="inlineStr">
        <is>
          <t>JB-10184</t>
        </is>
      </c>
      <c r="D2" s="120" t="inlineStr">
        <is>
          <t>MAYUR DINANATH PATIL</t>
        </is>
      </c>
      <c r="E2" s="120" t="n">
        <v>62500</v>
      </c>
      <c r="F2" s="120" t="n">
        <v>31</v>
      </c>
      <c r="G2" s="120" t="n">
        <v>31</v>
      </c>
      <c r="H2" s="120" t="n">
        <v>4</v>
      </c>
      <c r="I2" s="120" t="n">
        <v>4</v>
      </c>
      <c r="J2" s="120" t="n">
        <v>1</v>
      </c>
      <c r="K2" s="120" t="n">
        <v>22</v>
      </c>
      <c r="L2" s="120" t="n">
        <v>31</v>
      </c>
      <c r="M2" s="120" t="n">
        <v>0</v>
      </c>
      <c r="N2" s="120" t="n">
        <v>0</v>
      </c>
      <c r="O2" s="120" t="n">
        <v>31</v>
      </c>
      <c r="P2" s="120" t="n">
        <v>62500</v>
      </c>
      <c r="Q2" s="120" t="n">
        <v>6250</v>
      </c>
      <c r="R2" s="120" t="n">
        <v>0</v>
      </c>
      <c r="S2" s="120" t="n">
        <v>0</v>
      </c>
      <c r="T2" s="120" t="n">
        <v>68750</v>
      </c>
      <c r="U2" s="120" t="n">
        <v>6187.5</v>
      </c>
      <c r="V2" s="120" t="n">
        <v>6187.5</v>
      </c>
      <c r="W2" s="120" t="n">
        <v>0</v>
      </c>
      <c r="X2" s="120" t="n">
        <v>81125</v>
      </c>
      <c r="Y2" s="120" t="n">
        <v/>
      </c>
    </row>
    <row r="3">
      <c r="A3" s="120" t="inlineStr">
        <is>
          <t>Kiran Kokare</t>
        </is>
      </c>
      <c r="B3" s="120" t="inlineStr">
        <is>
          <t>Hathway Digital Ltd.</t>
        </is>
      </c>
      <c r="C3" s="120" t="inlineStr">
        <is>
          <t>AB10083</t>
        </is>
      </c>
      <c r="D3" s="120" t="inlineStr">
        <is>
          <t>PRANAV DEEPAK SHARMA</t>
        </is>
      </c>
      <c r="E3" s="120" t="n">
        <v>77000</v>
      </c>
      <c r="F3" s="120" t="n">
        <v>31</v>
      </c>
      <c r="G3" s="120" t="n">
        <v>31</v>
      </c>
      <c r="H3" s="120" t="n">
        <v>4</v>
      </c>
      <c r="I3" s="120" t="n">
        <v>4</v>
      </c>
      <c r="J3" s="120" t="n">
        <v>1</v>
      </c>
      <c r="K3" s="120" t="n">
        <v>22</v>
      </c>
      <c r="L3" s="120" t="n">
        <v>31</v>
      </c>
      <c r="M3" s="120" t="n">
        <v>0</v>
      </c>
      <c r="N3" s="120" t="n">
        <v>0</v>
      </c>
      <c r="O3" s="120" t="n">
        <v>31</v>
      </c>
      <c r="P3" s="120" t="n">
        <v>77000</v>
      </c>
      <c r="Q3" s="120" t="n">
        <v>7700</v>
      </c>
      <c r="R3" s="120" t="n">
        <v>0</v>
      </c>
      <c r="S3" s="120" t="n">
        <v>0</v>
      </c>
      <c r="T3" s="120" t="n">
        <v>84700</v>
      </c>
      <c r="U3" s="120" t="n">
        <v>7623</v>
      </c>
      <c r="V3" s="120" t="n">
        <v>7623</v>
      </c>
      <c r="W3" s="120" t="n">
        <v>0</v>
      </c>
      <c r="X3" s="120" t="n">
        <v>99946</v>
      </c>
      <c r="Y3" s="120" t="n">
        <v/>
      </c>
    </row>
    <row r="4">
      <c r="A4" s="120" t="inlineStr">
        <is>
          <t>Kiran Kokare</t>
        </is>
      </c>
      <c r="B4" s="120" t="inlineStr">
        <is>
          <t>Hathway Digital Ltd.</t>
        </is>
      </c>
      <c r="C4" s="120" t="inlineStr">
        <is>
          <t>JB-10104</t>
        </is>
      </c>
      <c r="D4" s="120" t="inlineStr">
        <is>
          <t>PRASHANT VIJAY SADVELKAR</t>
        </is>
      </c>
      <c r="E4" s="120" t="n">
        <v>35340</v>
      </c>
      <c r="F4" s="120" t="n">
        <v>31</v>
      </c>
      <c r="G4" s="120" t="n">
        <v>31</v>
      </c>
      <c r="H4" s="120" t="n">
        <v>4</v>
      </c>
      <c r="I4" s="120" t="n">
        <v>4</v>
      </c>
      <c r="J4" s="120" t="n">
        <v>1</v>
      </c>
      <c r="K4" s="120" t="n">
        <v>21</v>
      </c>
      <c r="L4" s="120" t="n">
        <v>30</v>
      </c>
      <c r="M4" s="120" t="n">
        <v>1</v>
      </c>
      <c r="N4" s="120" t="n">
        <v>1</v>
      </c>
      <c r="O4" s="120" t="n">
        <v>31</v>
      </c>
      <c r="P4" s="120" t="n">
        <v>35340</v>
      </c>
      <c r="Q4" s="120" t="n">
        <v>3534</v>
      </c>
      <c r="R4" s="120" t="n">
        <v>0</v>
      </c>
      <c r="S4" s="120" t="n">
        <v>0</v>
      </c>
      <c r="T4" s="120" t="n">
        <v>38874</v>
      </c>
      <c r="U4" s="120" t="n">
        <v>3498.66</v>
      </c>
      <c r="V4" s="120" t="n">
        <v>3498.66</v>
      </c>
      <c r="W4" s="120" t="n">
        <v>0</v>
      </c>
      <c r="X4" s="120" t="n">
        <v>45871.32</v>
      </c>
      <c r="Y4" s="120" t="n">
        <v/>
      </c>
    </row>
    <row r="5">
      <c r="A5" s="120" t="inlineStr">
        <is>
          <t>Kiran Kokare</t>
        </is>
      </c>
      <c r="B5" s="120" t="inlineStr">
        <is>
          <t>Hathway Digital Ltd.</t>
        </is>
      </c>
      <c r="C5" s="120" t="inlineStr">
        <is>
          <t>JB-10177</t>
        </is>
      </c>
      <c r="D5" s="120" t="inlineStr">
        <is>
          <t>ROHIT SAMPAT UMBARKAR</t>
        </is>
      </c>
      <c r="E5" s="120" t="n">
        <v>35000</v>
      </c>
      <c r="F5" s="120" t="n">
        <v>31</v>
      </c>
      <c r="G5" s="120" t="n">
        <v>31</v>
      </c>
      <c r="H5" s="120" t="n">
        <v>4</v>
      </c>
      <c r="I5" s="120" t="n">
        <v>4</v>
      </c>
      <c r="J5" s="120" t="n">
        <v>1</v>
      </c>
      <c r="K5" s="120" t="n">
        <v>21</v>
      </c>
      <c r="L5" s="120" t="n">
        <v>30</v>
      </c>
      <c r="M5" s="120" t="n">
        <v>1</v>
      </c>
      <c r="N5" s="120" t="n">
        <v>1</v>
      </c>
      <c r="O5" s="120" t="n">
        <v>31</v>
      </c>
      <c r="P5" s="120" t="n">
        <v>35000</v>
      </c>
      <c r="Q5" s="120" t="n">
        <v>3500</v>
      </c>
      <c r="R5" s="120" t="n">
        <v>0</v>
      </c>
      <c r="S5" s="120" t="n">
        <v>0</v>
      </c>
      <c r="T5" s="120" t="n">
        <v>38500</v>
      </c>
      <c r="U5" s="120" t="n">
        <v>3465</v>
      </c>
      <c r="V5" s="120" t="n">
        <v>3465</v>
      </c>
      <c r="W5" s="120" t="n">
        <v>0</v>
      </c>
      <c r="X5" s="120" t="n">
        <v>45430</v>
      </c>
      <c r="Y5" s="120" t="n">
        <v/>
      </c>
    </row>
    <row r="6">
      <c r="A6" s="121" t="inlineStr">
        <is>
          <t>TOTAL</t>
        </is>
      </c>
      <c r="B6" s="121" t="n"/>
      <c r="C6" s="121" t="n"/>
      <c r="D6" s="121" t="n"/>
      <c r="E6" s="121">
        <f>ROUND(SUM(E2:E5), 0)</f>
        <v/>
      </c>
      <c r="F6" s="121">
        <f>ROUND(SUM(F2:F5), 0)</f>
        <v/>
      </c>
      <c r="G6" s="121">
        <f>ROUND(SUM(G2:G5), 0)</f>
        <v/>
      </c>
      <c r="H6" s="121">
        <f>ROUND(SUM(H2:H5), 0)</f>
        <v/>
      </c>
      <c r="I6" s="121">
        <f>ROUND(SUM(I2:I5), 0)</f>
        <v/>
      </c>
      <c r="J6" s="121">
        <f>ROUND(SUM(J2:J5), 0)</f>
        <v/>
      </c>
      <c r="K6" s="121">
        <f>ROUND(SUM(K2:K5), 0)</f>
        <v/>
      </c>
      <c r="L6" s="121">
        <f>ROUND(SUM(L2:L5), 0)</f>
        <v/>
      </c>
      <c r="M6" s="121">
        <f>ROUND(SUM(M2:M5), 0)</f>
        <v/>
      </c>
      <c r="N6" s="121">
        <f>ROUND(SUM(N2:N5), 0)</f>
        <v/>
      </c>
      <c r="O6" s="121">
        <f>ROUND(SUM(O2:O5), 0)</f>
        <v/>
      </c>
      <c r="P6" s="121">
        <f>ROUND(SUM(P2:P5), 0)</f>
        <v/>
      </c>
      <c r="Q6" s="121">
        <f>ROUND(SUM(Q2:Q5), 0)</f>
        <v/>
      </c>
      <c r="R6" s="121">
        <f>ROUND(SUM(R2:R5), 0)</f>
        <v/>
      </c>
      <c r="S6" s="121">
        <f>ROUND(SUM(S2:S5), 0)</f>
        <v/>
      </c>
      <c r="T6" s="121">
        <f>ROUND(SUM(T2:T5), 0)</f>
        <v/>
      </c>
      <c r="U6" s="121">
        <f>CEILING(SUM(U2:U5), 1)</f>
        <v/>
      </c>
      <c r="V6" s="121">
        <f>CEILING(SUM(V2:V5), 1)</f>
        <v/>
      </c>
      <c r="W6" s="121">
        <f>ROUND(SUM(W2:W5), 0)</f>
        <v/>
      </c>
      <c r="X6" s="121">
        <f>ROUND(SUM(T6,U6,V6,W6), 0)</f>
        <v/>
      </c>
      <c r="Y6" s="121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BRIJGOPAL KALLA</dc:creator>
  <dcterms:created xsi:type="dcterms:W3CDTF">2025-10-24T07:18:23Z</dcterms:created>
  <dcterms:modified xsi:type="dcterms:W3CDTF">2026-02-27T06:52:25Z</dcterms:modified>
  <cp:lastModifiedBy>Kanishk Maheshwari</cp:lastModifiedBy>
  <cp:lastPrinted>2025-10-24T07:22:42Z</cp:lastPrinted>
</cp:coreProperties>
</file>