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Naresh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4" pivotButton="0" quotePrefix="0" xfId="0"/>
    <xf numFmtId="0" fontId="4" fillId="0" borderId="0" applyAlignment="1" pivotButton="0" quotePrefix="0" xfId="0">
      <alignment horizontal="left"/>
    </xf>
    <xf numFmtId="0" fontId="0" fillId="0" borderId="5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2" fillId="0" borderId="15" applyAlignment="1" pivotButton="0" quotePrefix="0" xfId="1">
      <alignment horizontal="center" vertical="center"/>
    </xf>
    <xf numFmtId="164" fontId="12" fillId="0" borderId="16" applyAlignment="1" pivotButton="0" quotePrefix="0" xfId="1">
      <alignment horizontal="center"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9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1" pivotButton="0" quotePrefix="0" xfId="0"/>
    <xf numFmtId="0" fontId="8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4" applyAlignment="1" pivotButton="0" quotePrefix="0" xfId="0">
      <alignment horizontal="left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5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2" fillId="0" borderId="4" pivotButton="0" quotePrefix="0" xfId="0"/>
    <xf numFmtId="0" fontId="2" fillId="0" borderId="0" pivotButton="0" quotePrefix="0" xfId="0"/>
    <xf numFmtId="0" fontId="2" fillId="0" borderId="5" pivotButton="0" quotePrefix="0" xfId="0"/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0" fontId="7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164" fontId="11" fillId="0" borderId="12" applyAlignment="1" pivotButton="0" quotePrefix="0" xfId="1">
      <alignment horizontal="center" vertical="center"/>
    </xf>
    <xf numFmtId="164" fontId="11" fillId="0" borderId="13" applyAlignment="1" pivotButton="0" quotePrefix="0" xfId="1">
      <alignment horizontal="center" vertical="center"/>
    </xf>
    <xf numFmtId="164" fontId="11" fillId="0" borderId="14" applyAlignment="1" pivotButton="0" quotePrefix="0" xfId="1">
      <alignment horizontal="center" vertical="center"/>
    </xf>
    <xf numFmtId="0" fontId="12" fillId="0" borderId="15" applyAlignment="1" pivotButton="0" quotePrefix="0" xfId="0">
      <alignment horizontal="left"/>
    </xf>
    <xf numFmtId="0" fontId="12" fillId="0" borderId="16" applyAlignment="1" pivotButton="0" quotePrefix="0" xfId="0">
      <alignment horizontal="left"/>
    </xf>
    <xf numFmtId="164" fontId="12" fillId="0" borderId="12" applyAlignment="1" pivotButton="0" quotePrefix="0" xfId="1">
      <alignment horizontal="center" vertical="center"/>
    </xf>
    <xf numFmtId="164" fontId="12" fillId="0" borderId="13" applyAlignment="1" pivotButton="0" quotePrefix="0" xfId="1">
      <alignment horizontal="center" vertical="center"/>
    </xf>
    <xf numFmtId="164" fontId="12" fillId="0" borderId="19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10" applyAlignment="1" pivotButton="0" quotePrefix="1" xfId="0">
      <alignment horizontal="center"/>
    </xf>
    <xf numFmtId="1" fontId="0" fillId="0" borderId="1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1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7" fillId="0" borderId="13" pivotButton="0" quotePrefix="0" xfId="0"/>
    <xf numFmtId="0" fontId="2" fillId="0" borderId="13" pivotButton="0" quotePrefix="0" xfId="0"/>
    <xf numFmtId="0" fontId="7" fillId="0" borderId="13" applyAlignment="1" pivotButton="0" quotePrefix="0" xfId="0">
      <alignment horizontal="left"/>
    </xf>
    <xf numFmtId="164" fontId="1" fillId="0" borderId="0" pivotButton="0" quotePrefix="0" xfId="1"/>
    <xf numFmtId="0" fontId="7" fillId="0" borderId="14" applyAlignment="1" pivotButton="0" quotePrefix="0" xfId="0">
      <alignment horizontal="left"/>
    </xf>
    <xf numFmtId="0" fontId="10" fillId="0" borderId="14" applyAlignment="1" pivotButton="0" quotePrefix="0" xfId="0">
      <alignment horizontal="left" vertical="center" wrapText="1"/>
    </xf>
    <xf numFmtId="164" fontId="11" fillId="0" borderId="20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22" pivotButton="0" quotePrefix="0" xfId="0"/>
    <xf numFmtId="164" fontId="12" fillId="0" borderId="15" applyAlignment="1" pivotButton="0" quotePrefix="0" xfId="1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164" fontId="12" fillId="0" borderId="16" applyAlignment="1" pivotButton="0" quotePrefix="0" xfId="1">
      <alignment horizontal="center" vertical="center"/>
    </xf>
    <xf numFmtId="164" fontId="12" fillId="0" borderId="27" applyAlignment="1" pivotButton="0" quotePrefix="0" xfId="1">
      <alignment horizontal="center" vertical="center"/>
    </xf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1" applyAlignment="1" pivotButton="0" quotePrefix="1" xfId="0">
      <alignment horizontal="center"/>
    </xf>
    <xf numFmtId="0" fontId="13" fillId="0" borderId="13" applyAlignment="1" pivotButton="0" quotePrefix="0" xfId="0">
      <alignment horizontal="left" vertical="top" wrapText="1"/>
    </xf>
    <xf numFmtId="0" fontId="16" fillId="3" borderId="28" applyAlignment="1" pivotButton="0" quotePrefix="0" xfId="0">
      <alignment horizontal="center" vertical="center" wrapText="1"/>
    </xf>
    <xf numFmtId="0" fontId="0" fillId="0" borderId="28" pivotButton="0" quotePrefix="0" xfId="0"/>
    <xf numFmtId="0" fontId="16" fillId="4" borderId="28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862446</colOff>
      <row>46</row>
      <rowOff>11545</rowOff>
    </from>
    <to>
      <col>6</col>
      <colOff>13394</colOff>
      <row>51</row>
      <rowOff>32327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910446" y="9275288"/>
          <a:ext cx="1415177" cy="94606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1269423</colOff>
      <row>45</row>
      <rowOff>172027</rowOff>
    </from>
    <to>
      <col>7</col>
      <colOff>555913</colOff>
      <row>50</row>
      <rowOff>11546</rowOff>
    </to>
    <pic>
      <nvPicPr>
        <cNvPr id="4" name="Picture 3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6581652" y="9239827"/>
          <a:ext cx="1430975" cy="77569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5"/>
  <sheetViews>
    <sheetView tabSelected="1" topLeftCell="A4" zoomScale="83" zoomScaleNormal="83" workbookViewId="0">
      <selection activeCell="A17" sqref="A17:G20"/>
    </sheetView>
  </sheetViews>
  <sheetFormatPr baseColWidth="8" defaultRowHeight="14.4"/>
  <cols>
    <col width="11.5546875" customWidth="1" min="1" max="1"/>
    <col width="10" customWidth="1" min="2" max="2"/>
    <col width="11.5546875" customWidth="1" min="3" max="3"/>
    <col width="10" customWidth="1" min="4" max="4"/>
    <col width="21.6640625" customWidth="1" min="5" max="5"/>
    <col width="10.33203125" customWidth="1" min="6" max="6"/>
    <col width="30.33203125" bestFit="1" customWidth="1" min="7" max="7"/>
    <col width="19.6640625" customWidth="1" min="8" max="8"/>
  </cols>
  <sheetData>
    <row r="1" ht="15" customHeight="1" thickBot="1"/>
    <row r="2" ht="60" customHeight="1" thickBot="1">
      <c r="A2" s="37" t="inlineStr">
        <is>
          <t>Jobuss Resources Pvt Ltd.</t>
        </is>
      </c>
      <c r="B2" s="13" t="n"/>
      <c r="C2" s="13" t="n"/>
      <c r="D2" s="13" t="n"/>
      <c r="E2" s="13" t="n"/>
      <c r="F2" s="40" t="n"/>
      <c r="G2" s="13" t="n"/>
      <c r="H2" s="14" t="n"/>
    </row>
    <row r="3" ht="17.4" customHeight="1" thickBot="1">
      <c r="A3" s="98" t="inlineStr">
        <is>
          <t>Private Limited</t>
        </is>
      </c>
      <c r="B3" s="13" t="n"/>
      <c r="C3" s="13" t="n"/>
      <c r="D3" s="13" t="n"/>
      <c r="E3" s="13" t="n"/>
      <c r="F3" s="13" t="n"/>
      <c r="G3" s="13" t="n"/>
      <c r="H3" s="14" t="n"/>
    </row>
    <row r="4" ht="15" customHeight="1" thickBot="1">
      <c r="A4" s="99" t="inlineStr">
        <is>
          <t>Add:- 1106, Sureshwari Techno IT Park, Eskay Resort, Borivali West Mumbai- 400092</t>
        </is>
      </c>
      <c r="B4" s="13" t="n"/>
      <c r="C4" s="13" t="n"/>
      <c r="D4" s="13" t="n"/>
      <c r="E4" s="13" t="n"/>
      <c r="F4" s="13" t="n"/>
      <c r="G4" s="13" t="n"/>
      <c r="H4" s="1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100" t="inlineStr">
        <is>
          <t>Original For Recepient</t>
        </is>
      </c>
      <c r="B6" s="13" t="n"/>
      <c r="C6" s="13" t="n"/>
      <c r="D6" s="13" t="n"/>
      <c r="E6" s="13" t="n"/>
      <c r="F6" s="13" t="n"/>
      <c r="G6" s="13" t="n"/>
      <c r="H6" s="14" t="n"/>
    </row>
    <row r="7" customFormat="1" s="6">
      <c r="A7" s="101" t="inlineStr">
        <is>
          <t>Reliance Industries Limited</t>
        </is>
      </c>
      <c r="B7" s="102" t="n"/>
      <c r="C7" s="102" t="n"/>
      <c r="D7" s="102" t="n"/>
      <c r="E7" s="103" t="n"/>
      <c r="F7" s="4" t="inlineStr">
        <is>
          <t>Bill No. :</t>
        </is>
      </c>
      <c r="G7" s="4" t="n"/>
      <c r="H7" s="5" t="n"/>
    </row>
    <row r="8">
      <c r="A8" s="104" t="inlineStr">
        <is>
          <t>Reliance Corporate Park</t>
        </is>
      </c>
      <c r="E8" s="9" t="n"/>
      <c r="F8" s="60" t="inlineStr">
        <is>
          <t>PAN: AAECJ2353C</t>
        </is>
      </c>
      <c r="H8" s="9" t="n"/>
    </row>
    <row r="9">
      <c r="A9" s="105" t="inlineStr">
        <is>
          <t>5 TTC Industrial area</t>
        </is>
      </c>
      <c r="E9" s="9" t="n"/>
      <c r="F9" s="60" t="inlineStr">
        <is>
          <t>GST No:  27AAECJ2353C1ZX</t>
        </is>
      </c>
      <c r="H9" s="9" t="n"/>
      <c r="I9" s="8" t="n"/>
    </row>
    <row r="10">
      <c r="A10" s="105" t="inlineStr">
        <is>
          <t>Thane Belapur Road Ghansoli Navi Mumbai-400701</t>
        </is>
      </c>
      <c r="E10" s="9" t="n"/>
      <c r="F10" s="60" t="inlineStr">
        <is>
          <t>PF No.- KDMAL1720777000</t>
        </is>
      </c>
      <c r="H10" s="9" t="n"/>
    </row>
    <row r="11">
      <c r="A11" s="106" t="inlineStr">
        <is>
          <t>GST NO: 27AAACR5055K3Z5</t>
        </is>
      </c>
      <c r="E11" s="9" t="n"/>
      <c r="F11" s="60" t="inlineStr">
        <is>
          <t>ESIC No.- 35000427980001001</t>
        </is>
      </c>
      <c r="H11" s="9" t="n"/>
    </row>
    <row r="12">
      <c r="A12" s="61" t="inlineStr">
        <is>
          <t>PAN:   AAACR5055K</t>
        </is>
      </c>
      <c r="E12" s="9" t="n"/>
      <c r="F12" s="33" t="inlineStr">
        <is>
          <t>Bill Date :</t>
        </is>
      </c>
      <c r="G12" s="54" t="inlineStr">
        <is>
          <t>28-02-2026</t>
        </is>
      </c>
      <c r="H12" s="29" t="n"/>
      <c r="I12" s="10" t="n"/>
      <c r="K12" s="107" t="n"/>
    </row>
    <row r="13">
      <c r="A13" s="106" t="inlineStr">
        <is>
          <t>Kind Attn: Mr. Naresh Divekar</t>
        </is>
      </c>
      <c r="E13" s="9" t="n"/>
      <c r="F13" s="59" t="inlineStr">
        <is>
          <t>Due Date:</t>
        </is>
      </c>
      <c r="G13" s="59" t="inlineStr">
        <is>
          <t>03-03-2026</t>
        </is>
      </c>
      <c r="H13" s="60" t="n"/>
      <c r="I13" s="10" t="n"/>
      <c r="K13" s="107" t="n"/>
    </row>
    <row r="14">
      <c r="A14" s="106" t="n"/>
      <c r="E14" s="9" t="n"/>
      <c r="F14" s="55" t="inlineStr">
        <is>
          <t>SAC Code: 998513 (Contract Staffing Services)</t>
        </is>
      </c>
      <c r="H14" s="9" t="n"/>
    </row>
    <row r="15" ht="16.5" customHeight="1" thickBot="1">
      <c r="A15" s="108" t="n"/>
      <c r="B15" s="27" t="n"/>
      <c r="C15" s="27" t="n"/>
      <c r="D15" s="27" t="n"/>
      <c r="E15" s="28" t="n"/>
      <c r="F15" s="55" t="inlineStr">
        <is>
          <t>Place of Service: Mumbai</t>
        </is>
      </c>
      <c r="H15" s="9" t="n"/>
    </row>
    <row r="16" ht="15.75" customHeight="1" thickBot="1">
      <c r="A16" s="84" t="n"/>
      <c r="B16" s="69" t="n"/>
      <c r="C16" s="13" t="n"/>
      <c r="D16" s="13" t="n"/>
      <c r="E16" s="14" t="n"/>
      <c r="F16" s="85" t="n"/>
      <c r="G16" s="16" t="n"/>
      <c r="H16" s="14" t="n"/>
    </row>
    <row r="17" ht="15.75" customHeight="1">
      <c r="A17" s="109" t="inlineStr">
        <is>
          <t>Contract staffing services for Assistance in Respective Department Period: 26 Jan 2026 to 25 Feb 2026</t>
        </is>
      </c>
      <c r="G17" s="9" t="n"/>
      <c r="H17" s="110" t="n">
        <v>182095</v>
      </c>
    </row>
    <row r="18" ht="13.5" customHeight="1">
      <c r="A18" s="19" t="n"/>
      <c r="G18" s="9" t="n"/>
      <c r="H18" s="111" t="n"/>
    </row>
    <row r="19" ht="15.75" customHeight="1">
      <c r="A19" s="19" t="n"/>
      <c r="G19" s="9" t="n"/>
      <c r="H19" s="111" t="n"/>
    </row>
    <row r="20" ht="15" customHeight="1" thickBot="1">
      <c r="A20" s="24" t="n"/>
      <c r="B20" s="27" t="n"/>
      <c r="C20" s="27" t="n"/>
      <c r="D20" s="27" t="n"/>
      <c r="E20" s="27" t="n"/>
      <c r="F20" s="27" t="n"/>
      <c r="G20" s="28" t="n"/>
      <c r="H20" s="112" t="n"/>
    </row>
    <row r="21" ht="15.6" customHeight="1">
      <c r="A21" s="79" t="inlineStr">
        <is>
          <t>Add : CGST @ 9%</t>
        </is>
      </c>
      <c r="B21" s="113" t="n"/>
      <c r="C21" s="113" t="n"/>
      <c r="D21" s="113" t="n"/>
      <c r="E21" s="113" t="n"/>
      <c r="F21" s="113" t="n"/>
      <c r="G21" s="114" t="n"/>
      <c r="H21" s="115" t="n">
        <v>16389</v>
      </c>
    </row>
    <row r="22" ht="15" customHeight="1" thickBot="1">
      <c r="A22" s="80" t="inlineStr">
        <is>
          <t>Add : SGST @ 9%</t>
        </is>
      </c>
      <c r="B22" s="116" t="n"/>
      <c r="C22" s="116" t="n"/>
      <c r="D22" s="116" t="n"/>
      <c r="E22" s="116" t="n"/>
      <c r="F22" s="116" t="n"/>
      <c r="G22" s="117" t="n"/>
      <c r="H22" s="118" t="n">
        <v>16389</v>
      </c>
    </row>
    <row r="23">
      <c r="A23" s="19" t="n"/>
      <c r="H23" s="119" t="n">
        <v>214872</v>
      </c>
    </row>
    <row r="24" ht="15.75" customHeight="1">
      <c r="A24" s="20" t="inlineStr">
        <is>
          <t>Rupees:</t>
        </is>
      </c>
      <c r="B24" s="21" t="inlineStr">
        <is>
          <t>Two Lakh, Fourteen Thousand, Eight Hundred And Seventy-Two Only</t>
        </is>
      </c>
      <c r="H24" s="111" t="n"/>
    </row>
    <row r="25" ht="15" customHeight="1" thickBot="1">
      <c r="A25" s="22" t="n"/>
      <c r="B25" s="23" t="n"/>
      <c r="C25" s="23" t="n"/>
      <c r="D25" s="23" t="n"/>
      <c r="E25" s="23" t="n"/>
      <c r="F25" s="23" t="n"/>
      <c r="G25" s="23" t="n"/>
      <c r="H25" s="120" t="n"/>
    </row>
    <row r="26" ht="15" customHeight="1" thickTop="1">
      <c r="A26" s="19" t="n"/>
      <c r="H26" s="9" t="n"/>
    </row>
    <row r="27">
      <c r="A27" s="19" t="n"/>
      <c r="H27" s="9" t="n"/>
    </row>
    <row r="28">
      <c r="A28" s="19" t="n"/>
      <c r="H28" s="9" t="n"/>
    </row>
    <row r="29">
      <c r="A29" s="19" t="n"/>
      <c r="H29" s="9" t="n"/>
    </row>
    <row r="30">
      <c r="A30" s="19" t="n"/>
      <c r="H30" s="9" t="n"/>
    </row>
    <row r="31" ht="15" customHeight="1" thickBot="1">
      <c r="A31" s="19" t="n"/>
      <c r="H31" s="9" t="n"/>
    </row>
    <row r="32" ht="15" customHeight="1" thickBot="1">
      <c r="A32" s="121" t="inlineStr">
        <is>
          <t>Bank Details:</t>
        </is>
      </c>
      <c r="B32" s="13" t="n"/>
      <c r="C32" s="14" t="n"/>
      <c r="H32" s="9" t="n"/>
    </row>
    <row r="33">
      <c r="A33" s="19" t="inlineStr">
        <is>
          <t>Name:</t>
        </is>
      </c>
      <c r="B33" s="88" t="inlineStr">
        <is>
          <t>Jobuss Resources Pvt. Ltd.</t>
        </is>
      </c>
      <c r="C33" s="9" t="n"/>
      <c r="H33" s="9" t="n"/>
    </row>
    <row r="34">
      <c r="A34" s="19" t="inlineStr">
        <is>
          <t>Bank Name:</t>
        </is>
      </c>
      <c r="B34" s="90" t="inlineStr">
        <is>
          <t>ICICI Bank</t>
        </is>
      </c>
      <c r="C34" s="9" t="n"/>
      <c r="H34" s="9" t="n"/>
    </row>
    <row r="35">
      <c r="A35" s="19" t="inlineStr">
        <is>
          <t>A/c No.:</t>
        </is>
      </c>
      <c r="B35" s="122" t="inlineStr">
        <is>
          <t>120905000960</t>
        </is>
      </c>
      <c r="C35" s="9" t="n"/>
      <c r="H35" s="9" t="n"/>
    </row>
    <row r="36">
      <c r="A36" s="19" t="inlineStr">
        <is>
          <t>IFSC Code:</t>
        </is>
      </c>
      <c r="B36" s="90" t="inlineStr">
        <is>
          <t>ICIC0001209</t>
        </is>
      </c>
      <c r="C36" s="9" t="n"/>
      <c r="H36" s="9" t="n"/>
    </row>
    <row r="37" ht="15" customHeight="1" thickBot="1">
      <c r="A37" s="24" t="inlineStr">
        <is>
          <t>MICR No:</t>
        </is>
      </c>
      <c r="B37" s="123" t="inlineStr">
        <is>
          <t>400229195</t>
        </is>
      </c>
      <c r="C37" s="28" t="n"/>
      <c r="H37" s="9" t="n"/>
    </row>
    <row r="38">
      <c r="A38" s="19" t="n"/>
      <c r="H38" s="9" t="n"/>
    </row>
    <row r="39">
      <c r="A39" s="19" t="n"/>
      <c r="H39" s="9" t="n"/>
    </row>
    <row r="40">
      <c r="A40" s="19" t="n"/>
      <c r="H40" s="9" t="n"/>
    </row>
    <row r="41">
      <c r="A41" s="19" t="n"/>
      <c r="H41" s="9" t="n"/>
    </row>
    <row r="42">
      <c r="A42" s="19" t="n"/>
      <c r="H42" s="9" t="n"/>
    </row>
    <row r="43">
      <c r="A43" s="19" t="n"/>
      <c r="H43" s="9" t="n"/>
    </row>
    <row r="44">
      <c r="A44" s="19" t="n"/>
      <c r="H44" s="9" t="n"/>
    </row>
    <row r="45" ht="15.6" customHeight="1">
      <c r="A45" s="19" t="n"/>
      <c r="G45" s="94" t="inlineStr">
        <is>
          <t xml:space="preserve">    For Jobuss Resources Pvt. Ltd.</t>
        </is>
      </c>
      <c r="H45" s="9" t="n"/>
    </row>
    <row r="46" ht="15.75" customHeight="1">
      <c r="A46" s="19" t="n"/>
      <c r="H46" s="9" t="n"/>
    </row>
    <row r="47" ht="14.85" customHeight="1">
      <c r="A47" s="19" t="n"/>
      <c r="H47" s="9" t="n"/>
    </row>
    <row r="48">
      <c r="A48" s="19" t="n"/>
      <c r="H48" s="9" t="n"/>
    </row>
    <row r="49">
      <c r="A49" s="19" t="n"/>
      <c r="H49" s="9" t="n"/>
    </row>
    <row r="50">
      <c r="A50" s="19" t="n"/>
      <c r="H50" s="9" t="n"/>
    </row>
    <row r="51">
      <c r="A51" s="19" t="n"/>
      <c r="H51" s="9" t="n"/>
    </row>
    <row r="52">
      <c r="A52" s="19" t="n"/>
      <c r="H52" s="9" t="n"/>
    </row>
    <row r="53" ht="15.6" customHeight="1">
      <c r="A53" s="19" t="n"/>
      <c r="G53" s="94" t="inlineStr">
        <is>
          <t xml:space="preserve">            Authorized Signatory</t>
        </is>
      </c>
      <c r="H53" s="9" t="n"/>
    </row>
    <row r="54" ht="15.6" customHeight="1">
      <c r="A54" s="19" t="n"/>
      <c r="G54" s="21" t="n"/>
      <c r="H54" s="9" t="n"/>
    </row>
    <row r="55" ht="15.6" customHeight="1">
      <c r="A55" s="19" t="n"/>
      <c r="G55" s="21" t="n"/>
      <c r="H55" s="9" t="n"/>
    </row>
    <row r="56" ht="15.6" customHeight="1">
      <c r="A56" s="19" t="n"/>
      <c r="G56" s="21" t="n"/>
      <c r="H56" s="9" t="n"/>
    </row>
    <row r="57" ht="15.6" customHeight="1">
      <c r="A57" s="19" t="n"/>
      <c r="G57" s="21" t="n"/>
      <c r="H57" s="9" t="n"/>
    </row>
    <row r="58" ht="15.6" customHeight="1">
      <c r="A58" s="19" t="n"/>
      <c r="G58" s="21" t="n"/>
      <c r="H58" s="9" t="n"/>
    </row>
    <row r="59" ht="15.6" customHeight="1">
      <c r="A59" s="19" t="n"/>
      <c r="G59" s="21" t="n"/>
      <c r="H59" s="9" t="n"/>
    </row>
    <row r="60" ht="15.6" customHeight="1">
      <c r="A60" s="19" t="n"/>
      <c r="G60" s="21" t="n"/>
      <c r="H60" s="9" t="n"/>
    </row>
    <row r="61">
      <c r="A61" s="19" t="n"/>
      <c r="H61" s="9" t="n"/>
    </row>
    <row r="62" ht="15.6" customHeight="1">
      <c r="A62" s="25" t="inlineStr">
        <is>
          <t>●   Early Remittance is Solicited.</t>
        </is>
      </c>
      <c r="B62" s="26" t="n"/>
      <c r="H62" s="9" t="n"/>
    </row>
    <row r="63">
      <c r="A63" s="124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3" s="9" t="n"/>
    </row>
    <row r="64">
      <c r="A64" s="19" t="n"/>
      <c r="H64" s="9" t="n"/>
    </row>
    <row r="65" ht="15" customHeight="1" thickBot="1">
      <c r="A65" s="24" t="n"/>
      <c r="B65" s="27" t="n"/>
      <c r="C65" s="27" t="n"/>
      <c r="D65" s="27" t="n"/>
      <c r="E65" s="27" t="n"/>
      <c r="F65" s="27" t="n"/>
      <c r="G65" s="27" t="n"/>
      <c r="H65" s="28" t="n"/>
    </row>
  </sheetData>
  <mergeCells count="34">
    <mergeCell ref="B16:C16"/>
    <mergeCell ref="A15:E15"/>
    <mergeCell ref="A22:G22"/>
    <mergeCell ref="A11:E11"/>
    <mergeCell ref="F8:H8"/>
    <mergeCell ref="F2:H2"/>
    <mergeCell ref="A6:H6"/>
    <mergeCell ref="A32:C32"/>
    <mergeCell ref="A7:E7"/>
    <mergeCell ref="H17:H20"/>
    <mergeCell ref="A63:H64"/>
    <mergeCell ref="G53:H53"/>
    <mergeCell ref="F9:H9"/>
    <mergeCell ref="H23:H25"/>
    <mergeCell ref="A3:H3"/>
    <mergeCell ref="F14:H14"/>
    <mergeCell ref="A2:E2"/>
    <mergeCell ref="B37:C37"/>
    <mergeCell ref="B34:C34"/>
    <mergeCell ref="A17:G20"/>
    <mergeCell ref="G45:H45"/>
    <mergeCell ref="A14:E14"/>
    <mergeCell ref="A8:E8"/>
    <mergeCell ref="F11:H11"/>
    <mergeCell ref="A4:H4"/>
    <mergeCell ref="F10:H10"/>
    <mergeCell ref="B33:C33"/>
    <mergeCell ref="A21:G21"/>
    <mergeCell ref="A10:E10"/>
    <mergeCell ref="B36:C36"/>
    <mergeCell ref="A13:E13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0" customHeight="1">
      <c r="A1" s="125" t="inlineStr">
        <is>
          <t>Kind Attention Person</t>
        </is>
      </c>
      <c r="B1" s="125" t="inlineStr">
        <is>
          <t>Working At</t>
        </is>
      </c>
      <c r="C1" s="125" t="inlineStr">
        <is>
          <t>Employee Code</t>
        </is>
      </c>
      <c r="D1" s="125" t="inlineStr">
        <is>
          <t>Employee Name</t>
        </is>
      </c>
      <c r="E1" s="125" t="inlineStr">
        <is>
          <t>Billing</t>
        </is>
      </c>
      <c r="F1" s="125" t="inlineStr">
        <is>
          <t>No of days</t>
        </is>
      </c>
      <c r="G1" s="125" t="inlineStr">
        <is>
          <t>Eligible Days</t>
        </is>
      </c>
      <c r="H1" s="125" t="inlineStr">
        <is>
          <t>No of Saturdays</t>
        </is>
      </c>
      <c r="I1" s="125" t="inlineStr">
        <is>
          <t>No of Sundays</t>
        </is>
      </c>
      <c r="J1" s="125" t="inlineStr">
        <is>
          <t>No of Holidays</t>
        </is>
      </c>
      <c r="K1" s="125" t="inlineStr">
        <is>
          <t>Total Present</t>
        </is>
      </c>
      <c r="L1" s="125" t="inlineStr">
        <is>
          <t>Total Working Days</t>
        </is>
      </c>
      <c r="M1" s="125" t="inlineStr">
        <is>
          <t>Absents this Month</t>
        </is>
      </c>
      <c r="N1" s="125" t="inlineStr">
        <is>
          <t>Adjustment of Days</t>
        </is>
      </c>
      <c r="O1" s="125" t="inlineStr">
        <is>
          <t>Total Payable Days</t>
        </is>
      </c>
      <c r="P1" s="125" t="inlineStr">
        <is>
          <t>Total Payable Billing</t>
        </is>
      </c>
      <c r="Q1" s="125" t="inlineStr">
        <is>
          <t>Charges</t>
        </is>
      </c>
      <c r="R1" s="125" t="inlineStr">
        <is>
          <t>Out of Pocket Exp</t>
        </is>
      </c>
      <c r="S1" s="125" t="inlineStr">
        <is>
          <t>Arrears</t>
        </is>
      </c>
      <c r="T1" s="125" t="inlineStr">
        <is>
          <t>Total</t>
        </is>
      </c>
      <c r="U1" s="125" t="inlineStr">
        <is>
          <t>CGST @9%</t>
        </is>
      </c>
      <c r="V1" s="125" t="inlineStr">
        <is>
          <t>SGST @9%</t>
        </is>
      </c>
      <c r="W1" s="125" t="inlineStr">
        <is>
          <t>IGST @18%</t>
        </is>
      </c>
      <c r="X1" s="125" t="inlineStr">
        <is>
          <t>Grand Total</t>
        </is>
      </c>
      <c r="Y1" s="125" t="inlineStr">
        <is>
          <t>Remark</t>
        </is>
      </c>
    </row>
    <row r="2">
      <c r="A2" s="126" t="inlineStr">
        <is>
          <t>Naresh Divekar</t>
        </is>
      </c>
      <c r="B2" s="126" t="inlineStr">
        <is>
          <t>Reliance Industries Ltd</t>
        </is>
      </c>
      <c r="C2" s="126" t="inlineStr">
        <is>
          <t>JB-10034</t>
        </is>
      </c>
      <c r="D2" s="126" t="inlineStr">
        <is>
          <t>DEEPASVI SURESH HINDALEKAR</t>
        </is>
      </c>
      <c r="E2" s="126" t="n">
        <v>28000</v>
      </c>
      <c r="F2" s="126" t="n">
        <v>31</v>
      </c>
      <c r="G2" s="126" t="n">
        <v>31</v>
      </c>
      <c r="H2" s="126" t="n">
        <v>0</v>
      </c>
      <c r="I2" s="126" t="n">
        <v>4</v>
      </c>
      <c r="J2" s="126" t="n">
        <v>1</v>
      </c>
      <c r="K2" s="126" t="n">
        <v>25</v>
      </c>
      <c r="L2" s="126" t="n">
        <v>30</v>
      </c>
      <c r="M2" s="126" t="n">
        <v>0</v>
      </c>
      <c r="N2" s="126" t="n">
        <v>0</v>
      </c>
      <c r="O2" s="126" t="n">
        <v>30</v>
      </c>
      <c r="P2" s="126" t="n">
        <v>27096.77</v>
      </c>
      <c r="Q2" s="126" t="n">
        <v>2000</v>
      </c>
      <c r="R2" s="126" t="n">
        <v>0</v>
      </c>
      <c r="S2" s="126" t="n">
        <v>0</v>
      </c>
      <c r="T2" s="126" t="n">
        <v>29096.77</v>
      </c>
      <c r="U2" s="126" t="n">
        <v>2618.71</v>
      </c>
      <c r="V2" s="126" t="n">
        <v>2618.71</v>
      </c>
      <c r="W2" s="126" t="n">
        <v>0</v>
      </c>
      <c r="X2" s="126" t="n">
        <v>34334.19</v>
      </c>
      <c r="Y2" s="126" t="n">
        <v/>
      </c>
    </row>
    <row r="3">
      <c r="A3" s="126" t="inlineStr">
        <is>
          <t>Naresh Divekar</t>
        </is>
      </c>
      <c r="B3" s="126" t="inlineStr">
        <is>
          <t>Reliance Industries Ltd</t>
        </is>
      </c>
      <c r="C3" s="126" t="inlineStr">
        <is>
          <t>JB-10036</t>
        </is>
      </c>
      <c r="D3" s="126" t="inlineStr">
        <is>
          <t>PRAJAKTA SUDHIR GOSAVI</t>
        </is>
      </c>
      <c r="E3" s="126" t="n">
        <v>24500</v>
      </c>
      <c r="F3" s="126" t="n">
        <v>31</v>
      </c>
      <c r="G3" s="126" t="n">
        <v>31</v>
      </c>
      <c r="H3" s="126" t="n">
        <v>0</v>
      </c>
      <c r="I3" s="126" t="n">
        <v>4</v>
      </c>
      <c r="J3" s="126" t="n">
        <v>1</v>
      </c>
      <c r="K3" s="126" t="n">
        <v>25</v>
      </c>
      <c r="L3" s="126" t="n">
        <v>30</v>
      </c>
      <c r="M3" s="126" t="n">
        <v>0</v>
      </c>
      <c r="N3" s="126" t="n">
        <v>0</v>
      </c>
      <c r="O3" s="126" t="n">
        <v>30</v>
      </c>
      <c r="P3" s="126" t="n">
        <v>23709.68</v>
      </c>
      <c r="Q3" s="126" t="n">
        <v>2000</v>
      </c>
      <c r="R3" s="126" t="n">
        <v>0</v>
      </c>
      <c r="S3" s="126" t="n">
        <v>0</v>
      </c>
      <c r="T3" s="126" t="n">
        <v>25709.68</v>
      </c>
      <c r="U3" s="126" t="n">
        <v>2313.87</v>
      </c>
      <c r="V3" s="126" t="n">
        <v>2313.87</v>
      </c>
      <c r="W3" s="126" t="n">
        <v>0</v>
      </c>
      <c r="X3" s="126" t="n">
        <v>30337.42</v>
      </c>
      <c r="Y3" s="126" t="n">
        <v/>
      </c>
    </row>
    <row r="4">
      <c r="A4" s="126" t="inlineStr">
        <is>
          <t>Naresh Divekar</t>
        </is>
      </c>
      <c r="B4" s="126" t="inlineStr">
        <is>
          <t>Reliance Industries Ltd</t>
        </is>
      </c>
      <c r="C4" s="126" t="inlineStr">
        <is>
          <t>JB-10055</t>
        </is>
      </c>
      <c r="D4" s="126" t="inlineStr">
        <is>
          <t>ANUJA BALIRAM BAHIRA</t>
        </is>
      </c>
      <c r="E4" s="126" t="n">
        <v>23000</v>
      </c>
      <c r="F4" s="126" t="n">
        <v>31</v>
      </c>
      <c r="G4" s="126" t="n">
        <v>31</v>
      </c>
      <c r="H4" s="126" t="n">
        <v>0</v>
      </c>
      <c r="I4" s="126" t="n">
        <v>4</v>
      </c>
      <c r="J4" s="126" t="n">
        <v>1</v>
      </c>
      <c r="K4" s="126" t="n">
        <v>25</v>
      </c>
      <c r="L4" s="126" t="n">
        <v>30</v>
      </c>
      <c r="M4" s="126" t="n">
        <v>0</v>
      </c>
      <c r="N4" s="126" t="n">
        <v>0</v>
      </c>
      <c r="O4" s="126" t="n">
        <v>30</v>
      </c>
      <c r="P4" s="126" t="n">
        <v>22258.06</v>
      </c>
      <c r="Q4" s="126" t="n">
        <v>2000</v>
      </c>
      <c r="R4" s="126" t="n">
        <v>0</v>
      </c>
      <c r="S4" s="126" t="n">
        <v>0</v>
      </c>
      <c r="T4" s="126" t="n">
        <v>24258.06</v>
      </c>
      <c r="U4" s="126" t="n">
        <v>2183.23</v>
      </c>
      <c r="V4" s="126" t="n">
        <v>2183.23</v>
      </c>
      <c r="W4" s="126" t="n">
        <v>0</v>
      </c>
      <c r="X4" s="126" t="n">
        <v>28624.52</v>
      </c>
      <c r="Y4" s="126" t="n">
        <v/>
      </c>
    </row>
    <row r="5">
      <c r="A5" s="126" t="inlineStr">
        <is>
          <t>Naresh Divekar</t>
        </is>
      </c>
      <c r="B5" s="126" t="inlineStr">
        <is>
          <t>Reliance Industries Ltd</t>
        </is>
      </c>
      <c r="C5" s="126" t="inlineStr">
        <is>
          <t>JB-10056</t>
        </is>
      </c>
      <c r="D5" s="126" t="inlineStr">
        <is>
          <t>SARITA SUNDER POOJARI</t>
        </is>
      </c>
      <c r="E5" s="126" t="n">
        <v>23000</v>
      </c>
      <c r="F5" s="126" t="n">
        <v>31</v>
      </c>
      <c r="G5" s="126" t="n">
        <v>31</v>
      </c>
      <c r="H5" s="126" t="n">
        <v>0</v>
      </c>
      <c r="I5" s="126" t="n">
        <v>4</v>
      </c>
      <c r="J5" s="126" t="n">
        <v>1</v>
      </c>
      <c r="K5" s="126" t="n">
        <v>25</v>
      </c>
      <c r="L5" s="126" t="n">
        <v>30</v>
      </c>
      <c r="M5" s="126" t="n">
        <v>0</v>
      </c>
      <c r="N5" s="126" t="n">
        <v>0</v>
      </c>
      <c r="O5" s="126" t="n">
        <v>30</v>
      </c>
      <c r="P5" s="126" t="n">
        <v>22258.06</v>
      </c>
      <c r="Q5" s="126" t="n">
        <v>2000</v>
      </c>
      <c r="R5" s="126" t="n">
        <v>0</v>
      </c>
      <c r="S5" s="126" t="n">
        <v>0</v>
      </c>
      <c r="T5" s="126" t="n">
        <v>24258.06</v>
      </c>
      <c r="U5" s="126" t="n">
        <v>2183.23</v>
      </c>
      <c r="V5" s="126" t="n">
        <v>2183.23</v>
      </c>
      <c r="W5" s="126" t="n">
        <v>0</v>
      </c>
      <c r="X5" s="126" t="n">
        <v>28624.52</v>
      </c>
      <c r="Y5" s="126" t="n">
        <v/>
      </c>
    </row>
    <row r="6">
      <c r="A6" s="126" t="inlineStr">
        <is>
          <t>Naresh Divekar</t>
        </is>
      </c>
      <c r="B6" s="126" t="inlineStr">
        <is>
          <t>Reliance Industries Ltd</t>
        </is>
      </c>
      <c r="C6" s="126" t="inlineStr">
        <is>
          <t>JB-10121</t>
        </is>
      </c>
      <c r="D6" s="126" t="inlineStr">
        <is>
          <t>JAYSHREE DIGAMBAR BHOSALE</t>
        </is>
      </c>
      <c r="E6" s="126" t="n">
        <v>25000</v>
      </c>
      <c r="F6" s="126" t="n">
        <v>31</v>
      </c>
      <c r="G6" s="126" t="n">
        <v>31</v>
      </c>
      <c r="H6" s="126" t="n">
        <v>0</v>
      </c>
      <c r="I6" s="126" t="n">
        <v>4</v>
      </c>
      <c r="J6" s="126" t="n">
        <v>1</v>
      </c>
      <c r="K6" s="126" t="n">
        <v>25</v>
      </c>
      <c r="L6" s="126" t="n">
        <v>30</v>
      </c>
      <c r="M6" s="126" t="n">
        <v>0</v>
      </c>
      <c r="N6" s="126" t="n">
        <v>0</v>
      </c>
      <c r="O6" s="126" t="n">
        <v>30</v>
      </c>
      <c r="P6" s="126" t="n">
        <v>24193.55</v>
      </c>
      <c r="Q6" s="126" t="n">
        <v>2000</v>
      </c>
      <c r="R6" s="126" t="n">
        <v>0</v>
      </c>
      <c r="S6" s="126" t="n">
        <v>0</v>
      </c>
      <c r="T6" s="126" t="n">
        <v>26193.55</v>
      </c>
      <c r="U6" s="126" t="n">
        <v>2357.42</v>
      </c>
      <c r="V6" s="126" t="n">
        <v>2357.42</v>
      </c>
      <c r="W6" s="126" t="n">
        <v>0</v>
      </c>
      <c r="X6" s="126" t="n">
        <v>30908.39</v>
      </c>
      <c r="Y6" s="126" t="n">
        <v/>
      </c>
    </row>
    <row r="7">
      <c r="A7" s="126" t="inlineStr">
        <is>
          <t>Naresh Divekar</t>
        </is>
      </c>
      <c r="B7" s="126" t="inlineStr">
        <is>
          <t>Reliance Industries Ltd</t>
        </is>
      </c>
      <c r="C7" s="126" t="inlineStr">
        <is>
          <t>JB-10139</t>
        </is>
      </c>
      <c r="D7" s="126" t="inlineStr">
        <is>
          <t>HARSHADA DIPAK MAHADIK</t>
        </is>
      </c>
      <c r="E7" s="126" t="n">
        <v>25398</v>
      </c>
      <c r="F7" s="126" t="n">
        <v>31</v>
      </c>
      <c r="G7" s="126" t="n">
        <v>31</v>
      </c>
      <c r="H7" s="126" t="n">
        <v>0</v>
      </c>
      <c r="I7" s="126" t="n">
        <v>4</v>
      </c>
      <c r="J7" s="126" t="n">
        <v>1</v>
      </c>
      <c r="K7" s="126" t="n">
        <v>25</v>
      </c>
      <c r="L7" s="126" t="n">
        <v>30</v>
      </c>
      <c r="M7" s="126" t="n">
        <v>0</v>
      </c>
      <c r="N7" s="126" t="n">
        <v>0</v>
      </c>
      <c r="O7" s="126" t="n">
        <v>30</v>
      </c>
      <c r="P7" s="126" t="n">
        <v>24578.71</v>
      </c>
      <c r="Q7" s="126" t="n">
        <v>2000</v>
      </c>
      <c r="R7" s="126" t="n">
        <v>0</v>
      </c>
      <c r="S7" s="126" t="n">
        <v>0</v>
      </c>
      <c r="T7" s="126" t="n">
        <v>26578.71</v>
      </c>
      <c r="U7" s="126" t="n">
        <v>2392.08</v>
      </c>
      <c r="V7" s="126" t="n">
        <v>2392.08</v>
      </c>
      <c r="W7" s="126" t="n">
        <v>0</v>
      </c>
      <c r="X7" s="126" t="n">
        <v>31362.88</v>
      </c>
      <c r="Y7" s="126" t="n">
        <v/>
      </c>
    </row>
    <row r="8">
      <c r="A8" s="126" t="inlineStr">
        <is>
          <t>Naresh Divekar</t>
        </is>
      </c>
      <c r="B8" s="126" t="inlineStr">
        <is>
          <t>Reliance Industries Ltd</t>
        </is>
      </c>
      <c r="C8" s="126" t="inlineStr">
        <is>
          <t>JB-10225</t>
        </is>
      </c>
      <c r="D8" s="126" t="inlineStr">
        <is>
          <t>ARCHANA DNYANESHWAR ANDHERE</t>
        </is>
      </c>
      <c r="E8" s="126" t="n">
        <v>24800</v>
      </c>
      <c r="F8" s="126" t="n">
        <v>31</v>
      </c>
      <c r="G8" s="126" t="n">
        <v>31</v>
      </c>
      <c r="H8" s="126" t="n">
        <v>0</v>
      </c>
      <c r="I8" s="126" t="n">
        <v>4</v>
      </c>
      <c r="J8" s="126" t="n">
        <v>1</v>
      </c>
      <c r="K8" s="126" t="n">
        <v>25</v>
      </c>
      <c r="L8" s="126" t="n">
        <v>30</v>
      </c>
      <c r="M8" s="126" t="n">
        <v>0</v>
      </c>
      <c r="N8" s="126" t="n">
        <v>0</v>
      </c>
      <c r="O8" s="126" t="n">
        <v>30</v>
      </c>
      <c r="P8" s="126" t="n">
        <v>24000</v>
      </c>
      <c r="Q8" s="126" t="n">
        <v>2000</v>
      </c>
      <c r="R8" s="126" t="n">
        <v>0</v>
      </c>
      <c r="S8" s="126" t="n">
        <v>0</v>
      </c>
      <c r="T8" s="126" t="n">
        <v>26000</v>
      </c>
      <c r="U8" s="126" t="n">
        <v>2340</v>
      </c>
      <c r="V8" s="126" t="n">
        <v>2340</v>
      </c>
      <c r="W8" s="126" t="n">
        <v>0</v>
      </c>
      <c r="X8" s="126" t="n">
        <v>30680</v>
      </c>
      <c r="Y8" s="126" t="n">
        <v/>
      </c>
    </row>
    <row r="9">
      <c r="A9" s="127" t="inlineStr">
        <is>
          <t>TOTAL</t>
        </is>
      </c>
      <c r="B9" s="127" t="n"/>
      <c r="C9" s="127" t="n"/>
      <c r="D9" s="127" t="n"/>
      <c r="E9" s="127">
        <f>ROUND(SUM(E2:E8), 0)</f>
        <v/>
      </c>
      <c r="F9" s="127">
        <f>ROUND(SUM(F2:F8), 0)</f>
        <v/>
      </c>
      <c r="G9" s="127">
        <f>ROUND(SUM(G2:G8), 0)</f>
        <v/>
      </c>
      <c r="H9" s="127">
        <f>ROUND(SUM(H2:H8), 0)</f>
        <v/>
      </c>
      <c r="I9" s="127">
        <f>ROUND(SUM(I2:I8), 0)</f>
        <v/>
      </c>
      <c r="J9" s="127">
        <f>ROUND(SUM(J2:J8), 0)</f>
        <v/>
      </c>
      <c r="K9" s="127">
        <f>ROUND(SUM(K2:K8), 0)</f>
        <v/>
      </c>
      <c r="L9" s="127">
        <f>ROUND(SUM(L2:L8), 0)</f>
        <v/>
      </c>
      <c r="M9" s="127">
        <f>ROUND(SUM(M2:M8), 0)</f>
        <v/>
      </c>
      <c r="N9" s="127">
        <f>ROUND(SUM(N2:N8), 0)</f>
        <v/>
      </c>
      <c r="O9" s="127">
        <f>ROUND(SUM(O2:O8), 0)</f>
        <v/>
      </c>
      <c r="P9" s="127">
        <f>ROUND(SUM(P2:P8), 0)</f>
        <v/>
      </c>
      <c r="Q9" s="127">
        <f>ROUND(SUM(Q2:Q8), 0)</f>
        <v/>
      </c>
      <c r="R9" s="127">
        <f>ROUND(SUM(R2:R8), 0)</f>
        <v/>
      </c>
      <c r="S9" s="127">
        <f>ROUND(SUM(S2:S8), 0)</f>
        <v/>
      </c>
      <c r="T9" s="127">
        <f>ROUND(SUM(T2:T8), 0)</f>
        <v/>
      </c>
      <c r="U9" s="127">
        <f>CEILING(SUM(U2:U8), 1)</f>
        <v/>
      </c>
      <c r="V9" s="127">
        <f>CEILING(SUM(V2:V8), 1)</f>
        <v/>
      </c>
      <c r="W9" s="127">
        <f>ROUND(SUM(W2:W8), 0)</f>
        <v/>
      </c>
      <c r="X9" s="127">
        <f>ROUND(SUM(T9,U9,V9,W9), 0)</f>
        <v/>
      </c>
      <c r="Y9" s="12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2026-01-29T09:30:04Z</dcterms:created>
  <dcterms:modified xsi:type="dcterms:W3CDTF">2026-02-28T09:08:09Z</dcterms:modified>
  <cp:lastModifiedBy>Kanishk Maheshwari</cp:lastModifiedBy>
  <cp:lastPrinted>2026-01-30T07:55:45Z</cp:lastPrinted>
</cp:coreProperties>
</file>