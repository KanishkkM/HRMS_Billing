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il Agarwal Aradhaya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8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rgb="FF22222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2" fillId="0" borderId="9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10" pivotButton="0" quotePrefix="0" xfId="0"/>
    <xf numFmtId="0" fontId="7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2" applyAlignment="1" pivotButton="0" quotePrefix="0" xfId="0">
      <alignment horizontal="left"/>
    </xf>
    <xf numFmtId="0" fontId="0" fillId="0" borderId="3" pivotButton="0" quotePrefix="0" xfId="0"/>
    <xf numFmtId="164" fontId="2" fillId="0" borderId="21" applyAlignment="1" pivotButton="0" quotePrefix="0" xfId="1">
      <alignment horizontal="center" vertical="center"/>
    </xf>
    <xf numFmtId="164" fontId="2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2" fillId="0" borderId="4" applyAlignment="1" pivotButton="0" quotePrefix="0" xfId="0">
      <alignment horizontal="left" wrapText="1"/>
    </xf>
    <xf numFmtId="0" fontId="2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16" pivotButton="0" quotePrefix="0" xfId="0"/>
    <xf numFmtId="0" fontId="9" fillId="0" borderId="0" pivotButton="0" quotePrefix="0" xfId="0"/>
    <xf numFmtId="0" fontId="10" fillId="0" borderId="4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2" fillId="0" borderId="0" applyAlignment="1" pivotButton="0" quotePrefix="0" xfId="0">
      <alignment vertical="center"/>
    </xf>
    <xf numFmtId="0" fontId="2" fillId="0" borderId="9" pivotButton="0" quotePrefix="0" xfId="0"/>
    <xf numFmtId="165" fontId="2" fillId="0" borderId="0" applyAlignment="1" pivotButton="0" quotePrefix="0" xfId="0">
      <alignment horizontal="left"/>
    </xf>
    <xf numFmtId="0" fontId="2" fillId="0" borderId="5" pivotButton="0" quotePrefix="0" xfId="0"/>
    <xf numFmtId="0" fontId="2" fillId="0" borderId="9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2" fillId="0" borderId="9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9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0" fillId="0" borderId="4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  <xf numFmtId="164" fontId="2" fillId="0" borderId="14" applyAlignment="1" pivotButton="0" quotePrefix="0" xfId="1">
      <alignment horizontal="center" vertical="center"/>
    </xf>
    <xf numFmtId="164" fontId="2" fillId="0" borderId="15" applyAlignment="1" pivotButton="0" quotePrefix="0" xfId="1">
      <alignment horizontal="center" vertical="center"/>
    </xf>
    <xf numFmtId="164" fontId="2" fillId="0" borderId="19" applyAlignment="1" pivotButton="0" quotePrefix="0" xfId="1">
      <alignment horizontal="center" vertical="center"/>
    </xf>
    <xf numFmtId="0" fontId="2" fillId="0" borderId="20" applyAlignment="1" pivotButton="0" quotePrefix="0" xfId="0">
      <alignment horizontal="left"/>
    </xf>
    <xf numFmtId="164" fontId="2" fillId="0" borderId="24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0" xfId="0">
      <alignment horizontal="center"/>
    </xf>
    <xf numFmtId="1" fontId="0" fillId="0" borderId="18" applyAlignment="1" pivotButton="0" quotePrefix="0" xfId="0">
      <alignment horizontal="center"/>
    </xf>
    <xf numFmtId="0" fontId="0" fillId="0" borderId="2" pivotButton="0" quotePrefix="0" xfId="0"/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3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32" applyAlignment="1" pivotButton="0" quotePrefix="0" xfId="0">
      <alignment horizontal="left"/>
    </xf>
    <xf numFmtId="0" fontId="0" fillId="0" borderId="10" pivotButton="0" quotePrefix="0" xfId="0"/>
    <xf numFmtId="0" fontId="2" fillId="0" borderId="31" applyAlignment="1" pivotButton="0" quotePrefix="0" xfId="0">
      <alignment horizontal="left" vertical="center"/>
    </xf>
    <xf numFmtId="0" fontId="2" fillId="0" borderId="31" applyAlignment="1" pivotButton="0" quotePrefix="0" xfId="0">
      <alignment horizontal="left"/>
    </xf>
    <xf numFmtId="164" fontId="1" fillId="0" borderId="0" pivotButton="0" quotePrefix="0" xfId="1"/>
    <xf numFmtId="0" fontId="2" fillId="0" borderId="25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2" fillId="0" borderId="25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0" fillId="0" borderId="28" pivotButton="0" quotePrefix="0" xfId="0"/>
    <xf numFmtId="0" fontId="0" fillId="0" borderId="29" pivotButton="0" quotePrefix="0" xfId="0"/>
    <xf numFmtId="164" fontId="2" fillId="0" borderId="21" applyAlignment="1" pivotButton="0" quotePrefix="0" xfId="1">
      <alignment horizontal="center" vertical="center"/>
    </xf>
    <xf numFmtId="164" fontId="2" fillId="0" borderId="20" applyAlignment="1" pivotButton="0" quotePrefix="0" xfId="1">
      <alignment horizontal="center" vertical="center"/>
    </xf>
    <xf numFmtId="164" fontId="2" fillId="0" borderId="30" applyAlignment="1" pivotButton="0" quotePrefix="0" xfId="1">
      <alignment horizontal="center" vertical="center"/>
    </xf>
    <xf numFmtId="0" fontId="0" fillId="0" borderId="24" pivotButton="0" quotePrefix="0" xfId="0"/>
    <xf numFmtId="0" fontId="2" fillId="0" borderId="25" pivotButton="0" quotePrefix="0" xfId="0"/>
    <xf numFmtId="0" fontId="10" fillId="0" borderId="15" applyAlignment="1" pivotButton="0" quotePrefix="0" xfId="0">
      <alignment horizontal="left" vertical="top" wrapText="1"/>
    </xf>
    <xf numFmtId="0" fontId="11" fillId="3" borderId="34" applyAlignment="1" pivotButton="0" quotePrefix="0" xfId="0">
      <alignment horizontal="center" vertical="center" wrapText="1"/>
    </xf>
    <xf numFmtId="0" fontId="0" fillId="0" borderId="34" pivotButton="0" quotePrefix="0" xfId="0"/>
    <xf numFmtId="0" fontId="11" fillId="4" borderId="34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563880</colOff>
      <row>46</row>
      <rowOff>0</rowOff>
    </from>
    <to>
      <col>7</col>
      <colOff>367665</colOff>
      <row>50</row>
      <rowOff>19050</rowOff>
    </to>
    <pic>
      <nvPicPr>
        <cNvPr id="17" name="Picture 16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5402580" y="9182100"/>
          <a:ext cx="162496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20">
    <outlinePr summaryBelow="1" summaryRight="1"/>
    <pageSetUpPr fitToPage="1"/>
  </sheetPr>
  <dimension ref="A2:K62"/>
  <sheetViews>
    <sheetView tabSelected="1" topLeftCell="A6" zoomScale="89" workbookViewId="0">
      <selection activeCell="A17" sqref="A17:G20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5"/>
    <col width="12.109375" bestFit="1" customWidth="1" min="6" max="6"/>
    <col width="26.5546875" customWidth="1" min="7" max="7"/>
    <col width="19.88671875" customWidth="1" min="8" max="8"/>
  </cols>
  <sheetData>
    <row r="1" ht="15" customHeight="1" thickBot="1"/>
    <row r="2" ht="60" customHeight="1" thickBot="1">
      <c r="A2" s="43" t="inlineStr">
        <is>
          <t>ARADHAYA</t>
        </is>
      </c>
      <c r="B2" s="91" t="n"/>
      <c r="C2" s="91" t="n"/>
      <c r="D2" s="91" t="n"/>
      <c r="E2" s="91" t="n"/>
      <c r="F2" s="46" t="n"/>
      <c r="G2" s="91" t="n"/>
      <c r="H2" s="18" t="n"/>
    </row>
    <row r="3" ht="17.4" customHeight="1" thickBot="1">
      <c r="A3" s="92" t="inlineStr">
        <is>
          <t>Consultancy Services</t>
        </is>
      </c>
      <c r="B3" s="91" t="n"/>
      <c r="C3" s="91" t="n"/>
      <c r="D3" s="91" t="n"/>
      <c r="E3" s="91" t="n"/>
      <c r="F3" s="91" t="n"/>
      <c r="G3" s="91" t="n"/>
      <c r="H3" s="18" t="n"/>
    </row>
    <row r="4" ht="15" customHeight="1" thickBot="1">
      <c r="A4" s="93" t="inlineStr">
        <is>
          <t>Add:- -1106, Sureshwari Techno IT Park, Eskay Resort, Borivali West Mumbai- 400092</t>
        </is>
      </c>
      <c r="B4" s="91" t="n"/>
      <c r="C4" s="91" t="n"/>
      <c r="D4" s="91" t="n"/>
      <c r="E4" s="91" t="n"/>
      <c r="F4" s="91" t="n"/>
      <c r="G4" s="91" t="n"/>
      <c r="H4" s="1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4" t="inlineStr">
        <is>
          <t>Original For Recepient</t>
        </is>
      </c>
      <c r="B6" s="91" t="n"/>
      <c r="C6" s="91" t="n"/>
      <c r="D6" s="91" t="n"/>
      <c r="E6" s="91" t="n"/>
      <c r="F6" s="91" t="n"/>
      <c r="G6" s="91" t="n"/>
      <c r="H6" s="18" t="n"/>
    </row>
    <row r="7" ht="15" customHeight="1" thickTop="1">
      <c r="A7" s="95" t="inlineStr">
        <is>
          <t>Reliance Industries Limited</t>
        </is>
      </c>
      <c r="B7" s="96" t="n"/>
      <c r="C7" s="96" t="n"/>
      <c r="D7" s="96" t="n"/>
      <c r="E7" s="97" t="n"/>
      <c r="F7" s="4" t="inlineStr">
        <is>
          <t>Bill No.:</t>
        </is>
      </c>
      <c r="G7" s="33" t="n"/>
      <c r="H7" s="5" t="n"/>
    </row>
    <row r="8">
      <c r="A8" s="98" t="inlineStr">
        <is>
          <t>5, TTC Industrial Area,</t>
        </is>
      </c>
      <c r="E8" s="99" t="n"/>
      <c r="F8" s="100" t="inlineStr">
        <is>
          <t>PAN: AALPP8196K</t>
        </is>
      </c>
      <c r="H8" s="26" t="n"/>
    </row>
    <row r="9">
      <c r="A9" s="98" t="inlineStr">
        <is>
          <t>Reliance Corporate Park,</t>
        </is>
      </c>
      <c r="E9" s="99" t="n"/>
      <c r="F9" s="100" t="inlineStr">
        <is>
          <t>GST No:  27AALPP8196K1ZR</t>
        </is>
      </c>
      <c r="H9" s="26" t="n"/>
      <c r="I9" s="6" t="n"/>
    </row>
    <row r="10">
      <c r="A10" s="98" t="inlineStr">
        <is>
          <t>Thane-Belapur Road, Ghansoli, Navi Mumbai 400701</t>
        </is>
      </c>
      <c r="E10" s="99" t="n"/>
      <c r="F10" s="100" t="inlineStr">
        <is>
          <t>PF No.- KDMAL1577421000</t>
        </is>
      </c>
      <c r="H10" s="26" t="n"/>
      <c r="I10" s="6" t="n"/>
    </row>
    <row r="11">
      <c r="A11" s="7" t="inlineStr">
        <is>
          <t xml:space="preserve">GST NO: </t>
        </is>
      </c>
      <c r="B11" s="8" t="inlineStr">
        <is>
          <t>27AAACR5055K1Z7</t>
        </is>
      </c>
      <c r="C11" s="9" t="n"/>
      <c r="D11" s="9" t="n"/>
      <c r="E11" s="10" t="n"/>
      <c r="F11" s="100" t="inlineStr">
        <is>
          <t>ESIC No.- 35000396220000999</t>
        </is>
      </c>
      <c r="H11" s="26" t="n"/>
      <c r="I11" s="6" t="n"/>
    </row>
    <row r="12">
      <c r="A12" s="7" t="inlineStr">
        <is>
          <t xml:space="preserve">PAN:  </t>
        </is>
      </c>
      <c r="B12" s="8" t="inlineStr">
        <is>
          <t>AAACR5055K</t>
        </is>
      </c>
      <c r="C12" s="9" t="n"/>
      <c r="D12" s="9" t="n"/>
      <c r="E12" s="11" t="n"/>
      <c r="F12" s="34" t="inlineStr">
        <is>
          <t xml:space="preserve">Bill Date :  </t>
        </is>
      </c>
      <c r="G12" s="35" t="inlineStr">
        <is>
          <t>28-02-2026</t>
        </is>
      </c>
      <c r="H12" s="36" t="n"/>
    </row>
    <row r="13">
      <c r="A13" s="7" t="inlineStr">
        <is>
          <t xml:space="preserve">Kind Attn: </t>
        </is>
      </c>
      <c r="B13" s="9" t="inlineStr">
        <is>
          <t>Mr. Anil Agarwal</t>
        </is>
      </c>
      <c r="C13" s="9" t="n"/>
      <c r="D13" s="9" t="n"/>
      <c r="E13" s="10" t="n"/>
      <c r="F13" s="59" t="inlineStr">
        <is>
          <t xml:space="preserve">Due Date: </t>
        </is>
      </c>
      <c r="G13" s="60" t="inlineStr">
        <is>
          <t>03-03-2026</t>
        </is>
      </c>
      <c r="H13" s="61" t="n"/>
    </row>
    <row r="14">
      <c r="A14" s="98" t="n"/>
      <c r="E14" s="99" t="n"/>
      <c r="F14" s="101" t="inlineStr">
        <is>
          <t>SAC Code:  998513 (Contract Staffing Services)</t>
        </is>
      </c>
      <c r="H14" s="26" t="n"/>
    </row>
    <row r="15" ht="15" customHeight="1" thickBot="1">
      <c r="A15" s="98" t="n"/>
      <c r="E15" s="99" t="n"/>
      <c r="F15" s="101" t="inlineStr">
        <is>
          <t>Place of Service: Navi Mumbai</t>
        </is>
      </c>
      <c r="H15" s="26" t="n"/>
      <c r="I15" s="12" t="n"/>
      <c r="K15" s="102" t="n"/>
    </row>
    <row r="16" ht="15" customHeight="1" thickBot="1">
      <c r="A16" s="82" t="inlineStr">
        <is>
          <t>Work Order : 540034731</t>
        </is>
      </c>
      <c r="B16" s="83" t="n"/>
      <c r="C16" s="83" t="n"/>
      <c r="D16" s="83" t="n"/>
      <c r="E16" s="84" t="n"/>
      <c r="F16" s="82" t="inlineStr">
        <is>
          <t>Vendor Code:</t>
        </is>
      </c>
      <c r="G16" s="17" t="n">
        <v>3186508</v>
      </c>
      <c r="H16" s="18" t="n"/>
    </row>
    <row r="17" ht="16.5" customHeight="1">
      <c r="A17" s="103" t="inlineStr">
        <is>
          <t>Contract staffing services for Assistance in Various Department Period: 21 Jan 2026 to 20 Feb 2026</t>
        </is>
      </c>
      <c r="B17" s="104" t="n"/>
      <c r="C17" s="104" t="n"/>
      <c r="D17" s="104" t="n"/>
      <c r="E17" s="104" t="n"/>
      <c r="F17" s="104" t="n"/>
      <c r="G17" s="105" t="n"/>
      <c r="H17" s="106" t="n">
        <v>99393</v>
      </c>
    </row>
    <row r="18">
      <c r="A18" s="21" t="n"/>
      <c r="G18" s="26" t="n"/>
      <c r="H18" s="107" t="n"/>
    </row>
    <row r="19">
      <c r="A19" s="21" t="n"/>
      <c r="G19" s="26" t="n"/>
      <c r="H19" s="107" t="n"/>
    </row>
    <row r="20" ht="15" customHeight="1" thickBot="1">
      <c r="A20" s="27" t="n"/>
      <c r="B20" s="31" t="n"/>
      <c r="C20" s="31" t="n"/>
      <c r="D20" s="31" t="n"/>
      <c r="E20" s="31" t="n"/>
      <c r="F20" s="31" t="n"/>
      <c r="G20" s="32" t="n"/>
      <c r="H20" s="108" t="n"/>
    </row>
    <row r="21" ht="15" customHeight="1" thickBot="1">
      <c r="A21" s="80" t="inlineStr">
        <is>
          <t>Add : CGST @ 9%</t>
        </is>
      </c>
      <c r="B21" s="109" t="n"/>
      <c r="C21" s="109" t="n"/>
      <c r="D21" s="109" t="n"/>
      <c r="E21" s="109" t="n"/>
      <c r="F21" s="109" t="n"/>
      <c r="G21" s="110" t="n"/>
      <c r="H21" s="111" t="n">
        <v>8946</v>
      </c>
    </row>
    <row r="22" ht="15" customHeight="1" thickBot="1">
      <c r="A22" s="80" t="inlineStr">
        <is>
          <t>Add : SGST @ 9%</t>
        </is>
      </c>
      <c r="B22" s="109" t="n"/>
      <c r="C22" s="109" t="n"/>
      <c r="D22" s="109" t="n"/>
      <c r="E22" s="109" t="n"/>
      <c r="F22" s="109" t="n"/>
      <c r="G22" s="110" t="n"/>
      <c r="H22" s="112" t="n">
        <v>8946</v>
      </c>
    </row>
    <row r="23">
      <c r="A23" s="21" t="n"/>
      <c r="H23" s="113" t="n">
        <v>117283</v>
      </c>
    </row>
    <row r="24">
      <c r="A24" s="22" t="inlineStr">
        <is>
          <t>Rupees:</t>
        </is>
      </c>
      <c r="B24" s="23" t="inlineStr">
        <is>
          <t>One Lakh, Seventeen Thousand, Two Hundred And Eighty-Three Only</t>
        </is>
      </c>
      <c r="H24" s="107" t="n"/>
    </row>
    <row r="25" ht="15" customHeight="1" thickBot="1">
      <c r="A25" s="24" t="n"/>
      <c r="B25" s="25" t="n"/>
      <c r="C25" s="25" t="n"/>
      <c r="D25" s="25" t="n"/>
      <c r="E25" s="25" t="n"/>
      <c r="F25" s="25" t="n"/>
      <c r="G25" s="25" t="n"/>
      <c r="H25" s="114" t="n"/>
    </row>
    <row r="26" ht="15" customHeight="1" thickTop="1">
      <c r="A26" s="21" t="n"/>
      <c r="H26" s="26" t="n"/>
    </row>
    <row r="27">
      <c r="A27" s="21" t="n"/>
      <c r="H27" s="26" t="n"/>
    </row>
    <row r="28">
      <c r="A28" s="21" t="n"/>
      <c r="H28" s="26" t="n"/>
    </row>
    <row r="29">
      <c r="A29" s="21" t="n"/>
      <c r="H29" s="26" t="n"/>
    </row>
    <row r="30">
      <c r="A30" s="21" t="n"/>
      <c r="H30" s="26" t="n"/>
    </row>
    <row r="31" ht="15" customHeight="1" thickBot="1">
      <c r="A31" s="21" t="n"/>
      <c r="H31" s="26" t="n"/>
    </row>
    <row r="32" ht="15" customHeight="1" thickBot="1">
      <c r="A32" s="115" t="inlineStr">
        <is>
          <t>Bank Details:</t>
        </is>
      </c>
      <c r="B32" s="91" t="n"/>
      <c r="C32" s="18" t="n"/>
      <c r="H32" s="26" t="n"/>
    </row>
    <row r="33">
      <c r="A33" s="21" t="inlineStr">
        <is>
          <t>Name:</t>
        </is>
      </c>
      <c r="B33" s="86" t="inlineStr">
        <is>
          <t>Aradhaya Consultancy Services</t>
        </is>
      </c>
      <c r="C33" s="26" t="n"/>
      <c r="H33" s="26" t="n"/>
    </row>
    <row r="34">
      <c r="A34" s="21" t="inlineStr">
        <is>
          <t>Bank Name:</t>
        </is>
      </c>
      <c r="B34" s="86" t="inlineStr">
        <is>
          <t>HDFC BANK</t>
        </is>
      </c>
      <c r="C34" s="26" t="n"/>
      <c r="H34" s="26" t="n"/>
    </row>
    <row r="35">
      <c r="A35" s="21" t="inlineStr">
        <is>
          <t>A/c No.:</t>
        </is>
      </c>
      <c r="B35" s="88" t="n">
        <v>50200016036100</v>
      </c>
      <c r="C35" s="26" t="n"/>
      <c r="H35" s="26" t="n"/>
    </row>
    <row r="36">
      <c r="A36" s="21" t="inlineStr">
        <is>
          <t>IFSC Code:</t>
        </is>
      </c>
      <c r="B36" s="86" t="inlineStr">
        <is>
          <t>HDFC0000060</t>
        </is>
      </c>
      <c r="C36" s="26" t="n"/>
      <c r="H36" s="26" t="n"/>
    </row>
    <row r="37" ht="15" customHeight="1" thickBot="1">
      <c r="A37" s="27" t="inlineStr">
        <is>
          <t>MICR No:</t>
        </is>
      </c>
      <c r="B37" s="90" t="n">
        <v>400240015</v>
      </c>
      <c r="C37" s="32" t="n"/>
      <c r="H37" s="26" t="n"/>
    </row>
    <row r="38">
      <c r="A38" s="21" t="n"/>
      <c r="H38" s="26" t="n"/>
    </row>
    <row r="39">
      <c r="A39" s="21" t="n"/>
      <c r="H39" s="26" t="n"/>
    </row>
    <row r="40">
      <c r="A40" s="21" t="n"/>
      <c r="H40" s="26" t="n"/>
    </row>
    <row r="41">
      <c r="A41" s="21" t="n"/>
      <c r="H41" s="26" t="n"/>
    </row>
    <row r="42">
      <c r="A42" s="21" t="n"/>
      <c r="H42" s="26" t="n"/>
    </row>
    <row r="43">
      <c r="A43" s="21" t="n"/>
      <c r="H43" s="26" t="n"/>
    </row>
    <row r="44">
      <c r="A44" s="21" t="n"/>
      <c r="H44" s="26" t="n"/>
    </row>
    <row r="45" ht="15.6" customHeight="1">
      <c r="A45" s="21" t="n"/>
      <c r="G45" s="28" t="inlineStr">
        <is>
          <t xml:space="preserve">    For Aradhaya Consultancy Services</t>
        </is>
      </c>
      <c r="H45" s="26" t="n"/>
    </row>
    <row r="46">
      <c r="A46" s="21" t="n"/>
      <c r="H46" s="26" t="n"/>
    </row>
    <row r="47">
      <c r="A47" s="21" t="n"/>
      <c r="H47" s="26" t="n"/>
    </row>
    <row r="48">
      <c r="A48" s="21" t="n"/>
      <c r="H48" s="26" t="n"/>
    </row>
    <row r="49">
      <c r="A49" s="21" t="n"/>
      <c r="H49" s="26" t="n"/>
    </row>
    <row r="50">
      <c r="A50" s="21" t="n"/>
      <c r="H50" s="26" t="n"/>
    </row>
    <row r="51">
      <c r="A51" s="21" t="n"/>
      <c r="H51" s="26" t="n"/>
    </row>
    <row r="52">
      <c r="A52" s="21" t="n"/>
      <c r="H52" s="26" t="n"/>
    </row>
    <row r="53" ht="15.6" customHeight="1">
      <c r="A53" s="21" t="n"/>
      <c r="G53" s="28" t="inlineStr">
        <is>
          <t xml:space="preserve">            Authorized Signatory</t>
        </is>
      </c>
      <c r="H53" s="26" t="n"/>
    </row>
    <row r="54" ht="15.6" customHeight="1">
      <c r="A54" s="21" t="n"/>
      <c r="G54" s="28" t="n"/>
      <c r="H54" s="26" t="n"/>
    </row>
    <row r="55" ht="15.6" customHeight="1">
      <c r="A55" s="21" t="n"/>
      <c r="G55" s="28" t="n"/>
      <c r="H55" s="26" t="n"/>
    </row>
    <row r="56" ht="15.6" customHeight="1">
      <c r="A56" s="21" t="n"/>
      <c r="G56" s="28" t="n"/>
      <c r="H56" s="26" t="n"/>
    </row>
    <row r="57" ht="15.6" customHeight="1">
      <c r="A57" s="21" t="n"/>
      <c r="G57" s="28" t="n"/>
      <c r="H57" s="26" t="n"/>
    </row>
    <row r="58">
      <c r="A58" s="21" t="n"/>
      <c r="H58" s="26" t="n"/>
    </row>
    <row r="59" ht="15.6" customHeight="1">
      <c r="A59" s="29" t="inlineStr">
        <is>
          <t>●   Early Remittance is Solicited.</t>
        </is>
      </c>
      <c r="B59" s="30" t="n"/>
      <c r="H59" s="26" t="n"/>
    </row>
    <row r="60" ht="15.75" customHeight="1">
      <c r="A60" s="116" t="inlineStr">
        <is>
          <t xml:space="preserve">  ●   GST No 27AALPP8196K1ZR &amp; SAC Code 998513 Category: Employment Services including personnel search/referral service &amp; Labour Supply Service. Sub Category: Contract Staffing Services.</t>
        </is>
      </c>
      <c r="H60" s="26" t="n"/>
    </row>
    <row r="61" ht="22.5" customHeight="1">
      <c r="A61" s="21" t="n"/>
      <c r="H61" s="26" t="n"/>
    </row>
    <row r="62" ht="15" customHeight="1" thickBot="1">
      <c r="A62" s="27" t="n"/>
      <c r="B62" s="31" t="n"/>
      <c r="C62" s="31" t="n"/>
      <c r="D62" s="31" t="n"/>
      <c r="E62" s="31" t="n"/>
      <c r="F62" s="31" t="n"/>
      <c r="G62" s="31" t="n"/>
      <c r="H62" s="32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A8:E8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Grand Total</t>
        </is>
      </c>
      <c r="U1" s="117" t="inlineStr">
        <is>
          <t>Remark</t>
        </is>
      </c>
      <c r="V1" s="117" t="inlineStr">
        <is>
          <t>CGST @9%</t>
        </is>
      </c>
      <c r="W1" s="117" t="inlineStr">
        <is>
          <t>SGST @9%</t>
        </is>
      </c>
    </row>
    <row r="2">
      <c r="A2" s="118" t="inlineStr">
        <is>
          <t>Anil Agarwal</t>
        </is>
      </c>
      <c r="B2" s="118" t="inlineStr">
        <is>
          <t>AR-10012</t>
        </is>
      </c>
      <c r="C2" s="118" t="inlineStr">
        <is>
          <t>ANIL SHANKAR JADHAV</t>
        </is>
      </c>
      <c r="D2" s="118" t="n">
        <v>24525</v>
      </c>
      <c r="E2" s="118" t="n">
        <v>31</v>
      </c>
      <c r="F2" s="118" t="n">
        <v>31</v>
      </c>
      <c r="G2" s="118" t="n">
        <v>4</v>
      </c>
      <c r="H2" s="118" t="n">
        <v>4</v>
      </c>
      <c r="I2" s="118" t="n">
        <v>1</v>
      </c>
      <c r="J2" s="118" t="n">
        <v>22</v>
      </c>
      <c r="K2" s="118" t="n">
        <v>31</v>
      </c>
      <c r="L2" s="118" t="n">
        <v>0</v>
      </c>
      <c r="M2" s="118" t="n">
        <v>0</v>
      </c>
      <c r="N2" s="118" t="n">
        <v>31</v>
      </c>
      <c r="O2" s="118" t="n">
        <v>24525</v>
      </c>
      <c r="P2" s="118" t="n">
        <v>750</v>
      </c>
      <c r="Q2" s="118" t="n">
        <v>5288</v>
      </c>
      <c r="R2" s="118" t="n">
        <v>0</v>
      </c>
      <c r="S2" s="118" t="n">
        <v>30563</v>
      </c>
      <c r="T2" s="118" t="n">
        <v>36064</v>
      </c>
      <c r="U2" s="118" t="n">
        <v/>
      </c>
      <c r="V2" s="118" t="n">
        <v>2751</v>
      </c>
      <c r="W2" s="118" t="n">
        <v>2751</v>
      </c>
    </row>
    <row r="3">
      <c r="A3" s="118" t="inlineStr">
        <is>
          <t>Anil Agarwal</t>
        </is>
      </c>
      <c r="B3" s="118" t="inlineStr">
        <is>
          <t>AR-10149</t>
        </is>
      </c>
      <c r="C3" s="118" t="inlineStr">
        <is>
          <t>DEEPIKA UMESH JHA</t>
        </is>
      </c>
      <c r="D3" s="118" t="n">
        <v>27800</v>
      </c>
      <c r="E3" s="118" t="n">
        <v>31</v>
      </c>
      <c r="F3" s="118" t="n">
        <v>31</v>
      </c>
      <c r="G3" s="118" t="n">
        <v>4</v>
      </c>
      <c r="H3" s="118" t="n">
        <v>4</v>
      </c>
      <c r="I3" s="118" t="n">
        <v>1</v>
      </c>
      <c r="J3" s="118" t="n">
        <v>21</v>
      </c>
      <c r="K3" s="118" t="n">
        <v>30</v>
      </c>
      <c r="L3" s="118" t="n">
        <v>0</v>
      </c>
      <c r="M3" s="118" t="n">
        <v>1</v>
      </c>
      <c r="N3" s="118" t="n">
        <v>31</v>
      </c>
      <c r="O3" s="118" t="n">
        <v>27800</v>
      </c>
      <c r="P3" s="118" t="n">
        <v>750</v>
      </c>
      <c r="Q3" s="118" t="n">
        <v>0</v>
      </c>
      <c r="R3" s="118" t="n">
        <v>0</v>
      </c>
      <c r="S3" s="118" t="n">
        <v>28550</v>
      </c>
      <c r="T3" s="118" t="n">
        <v>33689</v>
      </c>
      <c r="U3" s="118" t="n">
        <v/>
      </c>
      <c r="V3" s="118" t="n">
        <v>2570</v>
      </c>
      <c r="W3" s="118" t="n">
        <v>2570</v>
      </c>
    </row>
    <row r="4">
      <c r="A4" s="118" t="inlineStr">
        <is>
          <t>Anil Agarwal</t>
        </is>
      </c>
      <c r="B4" s="118" t="inlineStr">
        <is>
          <t>AR-10147</t>
        </is>
      </c>
      <c r="C4" s="118" t="inlineStr">
        <is>
          <t>RITESH KUMAR KORJAL</t>
        </is>
      </c>
      <c r="D4" s="118" t="n">
        <v>39530</v>
      </c>
      <c r="E4" s="118" t="n">
        <v>31</v>
      </c>
      <c r="F4" s="118" t="n">
        <v>31</v>
      </c>
      <c r="G4" s="118" t="n">
        <v>4</v>
      </c>
      <c r="H4" s="118" t="n">
        <v>4</v>
      </c>
      <c r="I4" s="118" t="n">
        <v>1</v>
      </c>
      <c r="J4" s="118" t="n">
        <v>21</v>
      </c>
      <c r="K4" s="118" t="n">
        <v>30</v>
      </c>
      <c r="L4" s="118" t="n">
        <v>0</v>
      </c>
      <c r="M4" s="118" t="n">
        <v>1</v>
      </c>
      <c r="N4" s="118" t="n">
        <v>31</v>
      </c>
      <c r="O4" s="118" t="n">
        <v>39530</v>
      </c>
      <c r="P4" s="118" t="n">
        <v>750</v>
      </c>
      <c r="Q4" s="118" t="n">
        <v>0</v>
      </c>
      <c r="R4" s="118" t="n">
        <v>0</v>
      </c>
      <c r="S4" s="118" t="n">
        <v>40280</v>
      </c>
      <c r="T4" s="118" t="n">
        <v>47530</v>
      </c>
      <c r="U4" s="118" t="n">
        <v/>
      </c>
      <c r="V4" s="118" t="n">
        <v>3625</v>
      </c>
      <c r="W4" s="118" t="n">
        <v>3625</v>
      </c>
    </row>
    <row r="5">
      <c r="A5" s="119" t="inlineStr">
        <is>
          <t>TOTAL</t>
        </is>
      </c>
      <c r="B5" s="119" t="n"/>
      <c r="C5" s="119" t="n"/>
      <c r="D5" s="119">
        <f>ROUND(SUM(D2:D4), 0)</f>
        <v/>
      </c>
      <c r="E5" s="119">
        <f>ROUND(SUM(E2:E4), 0)</f>
        <v/>
      </c>
      <c r="F5" s="119">
        <f>ROUND(SUM(F2:F4), 0)</f>
        <v/>
      </c>
      <c r="G5" s="119">
        <f>ROUND(SUM(G2:G4), 0)</f>
        <v/>
      </c>
      <c r="H5" s="119">
        <f>ROUND(SUM(H2:H4), 0)</f>
        <v/>
      </c>
      <c r="I5" s="119">
        <f>ROUND(SUM(I2:I4), 0)</f>
        <v/>
      </c>
      <c r="J5" s="119">
        <f>ROUND(SUM(J2:J4), 0)</f>
        <v/>
      </c>
      <c r="K5" s="119">
        <f>ROUND(SUM(K2:K4), 0)</f>
        <v/>
      </c>
      <c r="L5" s="119">
        <f>ROUND(SUM(L2:L4), 0)</f>
        <v/>
      </c>
      <c r="M5" s="119">
        <f>ROUND(SUM(M2:M4), 0)</f>
        <v/>
      </c>
      <c r="N5" s="119">
        <f>ROUND(SUM(N2:N4), 0)</f>
        <v/>
      </c>
      <c r="O5" s="119">
        <f>ROUND(SUM(O2:O4), 0)</f>
        <v/>
      </c>
      <c r="P5" s="119">
        <f>ROUND(SUM(P2:P4), 0)</f>
        <v/>
      </c>
      <c r="Q5" s="119">
        <f>ROUND(SUM(Q2:Q4), 0)</f>
        <v/>
      </c>
      <c r="R5" s="119">
        <f>ROUND(SUM(R2:R4), 0)</f>
        <v/>
      </c>
      <c r="S5" s="119">
        <f>ROUND(SUM(S2:S4), 0)</f>
        <v/>
      </c>
      <c r="T5" s="119">
        <f>ROUND(SUM(S5,V5,W5), 0)</f>
        <v/>
      </c>
      <c r="U5" s="119" t="n"/>
      <c r="V5" s="119">
        <f>CEILING(SUM(V2:V4), 1)</f>
        <v/>
      </c>
      <c r="W5" s="119">
        <f>CEILING(SUM(W2:W4),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2025-10-03T11:38:11Z</dcterms:created>
  <dcterms:modified xsi:type="dcterms:W3CDTF">2026-02-28T12:36:46Z</dcterms:modified>
  <cp:lastModifiedBy>Kanishk Maheshwari</cp:lastModifiedBy>
  <cp:lastPrinted>2026-02-03T08:22:24Z</cp:lastPrinted>
</cp:coreProperties>
</file>