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name="Mr. Dinesh Maheshwari Bill" sheetId="1" state="visible" r:id="rId1"/>
    <sheet name="Annexure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12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4" fontId="10" fillId="0" borderId="17" applyAlignment="1" pivotButton="0" quotePrefix="0" xfId="1">
      <alignment horizontal="center" vertical="center"/>
    </xf>
    <xf numFmtId="0" fontId="0" fillId="0" borderId="4" pivotButton="0" quotePrefix="0" xfId="0"/>
    <xf numFmtId="0" fontId="11" fillId="0" borderId="4" applyAlignment="1" pivotButton="0" quotePrefix="0" xfId="0">
      <alignment horizontal="left" wrapText="1"/>
    </xf>
    <xf numFmtId="0" fontId="11" fillId="0" borderId="0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5" pivotButton="0" quotePrefix="0" xfId="0"/>
    <xf numFmtId="0" fontId="0" fillId="0" borderId="13" pivotButton="0" quotePrefix="0" xfId="0"/>
    <xf numFmtId="0" fontId="12" fillId="0" borderId="4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0" borderId="14" pivotButton="0" quotePrefix="0" xfId="0"/>
    <xf numFmtId="0" fontId="0" fillId="0" borderId="15" pivotButton="0" quotePrefix="0" xfId="0"/>
    <xf numFmtId="0" fontId="8" fillId="0" borderId="6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7" fillId="0" borderId="4" pivotButton="0" quotePrefix="0" xfId="0"/>
    <xf numFmtId="0" fontId="7" fillId="0" borderId="0" pivotButton="0" quotePrefix="0" xfId="0"/>
    <xf numFmtId="0" fontId="7" fillId="0" borderId="7" pivotButton="0" quotePrefix="0" xfId="0"/>
    <xf numFmtId="0" fontId="8" fillId="0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8" fillId="0" borderId="6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8" fillId="0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9" fillId="0" borderId="8" applyAlignment="1" pivotButton="0" quotePrefix="0" xfId="0">
      <alignment horizontal="left" vertical="center" wrapText="1"/>
    </xf>
    <xf numFmtId="164" fontId="10" fillId="0" borderId="11" applyAlignment="1" pivotButton="0" quotePrefix="0" xfId="1">
      <alignment horizontal="center" vertical="center"/>
    </xf>
    <xf numFmtId="164" fontId="10" fillId="0" borderId="12" applyAlignment="1" pivotButton="0" quotePrefix="0" xfId="1">
      <alignment horizontal="center" vertical="center"/>
    </xf>
    <xf numFmtId="164" fontId="10" fillId="0" borderId="16" applyAlignment="1" pivotButton="0" quotePrefix="0" xfId="1">
      <alignment horizontal="center" vertical="center"/>
    </xf>
    <xf numFmtId="0" fontId="11" fillId="0" borderId="17" applyAlignment="1" pivotButton="0" quotePrefix="0" xfId="0">
      <alignment horizontal="left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5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/>
    </xf>
    <xf numFmtId="0" fontId="7" fillId="0" borderId="9" applyAlignment="1" pivotButton="0" quotePrefix="0" xfId="0">
      <alignment horizontal="left" vertical="center"/>
    </xf>
    <xf numFmtId="0" fontId="7" fillId="0" borderId="10" applyAlignment="1" pivotButton="0" quotePrefix="0" xfId="0">
      <alignment horizontal="left" vertical="center"/>
    </xf>
    <xf numFmtId="0" fontId="7" fillId="0" borderId="4" pivotButton="0" quotePrefix="0" xfId="0"/>
    <xf numFmtId="0" fontId="7" fillId="0" borderId="0" pivotButton="0" quotePrefix="0" xfId="0"/>
    <xf numFmtId="0" fontId="7" fillId="0" borderId="5" pivotButton="0" quotePrefix="0" xfId="0"/>
    <xf numFmtId="0" fontId="2" fillId="0" borderId="4" pivotButton="0" quotePrefix="0" xfId="0"/>
    <xf numFmtId="0" fontId="2" fillId="0" borderId="0" pivotButton="0" quotePrefix="0" xfId="0"/>
    <xf numFmtId="0" fontId="2" fillId="0" borderId="5" pivotButton="0" quotePrefix="0" xfId="0"/>
    <xf numFmtId="0" fontId="2" fillId="0" borderId="4" pivotButton="0" quotePrefix="0" xfId="0"/>
    <xf numFmtId="0" fontId="2" fillId="0" borderId="0" pivotButton="0" quotePrefix="0" xfId="0"/>
    <xf numFmtId="0" fontId="7" fillId="0" borderId="0" pivotButton="0" quotePrefix="0" xfId="0"/>
    <xf numFmtId="0" fontId="13" fillId="0" borderId="9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3" fillId="0" borderId="14" applyAlignment="1" pivotButton="0" quotePrefix="0" xfId="0">
      <alignment horizontal="left" vertical="center" wrapText="1"/>
    </xf>
    <xf numFmtId="1" fontId="0" fillId="0" borderId="14" applyAlignment="1" pivotButton="0" quotePrefix="0" xfId="0">
      <alignment horizontal="center"/>
    </xf>
    <xf numFmtId="0" fontId="12" fillId="0" borderId="0" applyAlignment="1" pivotButton="0" quotePrefix="0" xfId="0">
      <alignment vertical="top" wrapText="1"/>
    </xf>
    <xf numFmtId="0" fontId="12" fillId="0" borderId="5" applyAlignment="1" pivotButton="0" quotePrefix="0" xfId="0">
      <alignment vertical="top" wrapText="1"/>
    </xf>
    <xf numFmtId="0" fontId="12" fillId="0" borderId="4" applyAlignment="1" pivotButton="0" quotePrefix="0" xfId="0">
      <alignment horizontal="left" vertical="center"/>
    </xf>
    <xf numFmtId="0" fontId="4" fillId="0" borderId="17" applyAlignment="1" pivotButton="0" quotePrefix="0" xfId="0">
      <alignment horizontal="left" vertical="center" wrapText="1"/>
    </xf>
    <xf numFmtId="0" fontId="5" fillId="2" borderId="17" applyAlignment="1" pivotButton="0" quotePrefix="0" xfId="0">
      <alignment horizontal="right"/>
    </xf>
    <xf numFmtId="0" fontId="6" fillId="0" borderId="17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7" fillId="0" borderId="11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7" fillId="0" borderId="12" pivotButton="0" quotePrefix="0" xfId="0"/>
    <xf numFmtId="0" fontId="2" fillId="0" borderId="12" pivotButton="0" quotePrefix="0" xfId="0"/>
    <xf numFmtId="0" fontId="8" fillId="0" borderId="21" applyAlignment="1" pivotButton="0" quotePrefix="0" xfId="0">
      <alignment horizontal="left" vertical="center"/>
    </xf>
    <xf numFmtId="0" fontId="7" fillId="0" borderId="20" applyAlignment="1" pivotButton="0" quotePrefix="0" xfId="0">
      <alignment horizontal="left"/>
    </xf>
    <xf numFmtId="0" fontId="0" fillId="0" borderId="7" pivotButton="0" quotePrefix="0" xfId="0"/>
    <xf numFmtId="0" fontId="8" fillId="0" borderId="21" applyAlignment="1" pivotButton="0" quotePrefix="0" xfId="0">
      <alignment horizontal="left"/>
    </xf>
    <xf numFmtId="164" fontId="1" fillId="0" borderId="0" pivotButton="0" quotePrefix="0" xfId="1"/>
    <xf numFmtId="0" fontId="9" fillId="0" borderId="1" applyAlignment="1" pivotButton="0" quotePrefix="0" xfId="0">
      <alignment horizontal="left" vertical="center" wrapText="1"/>
    </xf>
    <xf numFmtId="164" fontId="10" fillId="0" borderId="17" applyAlignment="1" pivotButton="0" quotePrefix="0" xfId="1">
      <alignment horizontal="center" vertical="center"/>
    </xf>
    <xf numFmtId="0" fontId="0" fillId="0" borderId="12" pivotButton="0" quotePrefix="0" xfId="0"/>
    <xf numFmtId="0" fontId="0" fillId="0" borderId="16" pivotButton="0" quotePrefix="0" xfId="0"/>
    <xf numFmtId="0" fontId="2" fillId="0" borderId="17" pivotButton="0" quotePrefix="0" xfId="0"/>
    <xf numFmtId="1" fontId="0" fillId="0" borderId="5" applyAlignment="1" pivotButton="0" quotePrefix="1" xfId="0">
      <alignment horizontal="center"/>
    </xf>
    <xf numFmtId="0" fontId="14" fillId="3" borderId="22" applyAlignment="1" pivotButton="0" quotePrefix="0" xfId="0">
      <alignment horizontal="center" vertical="center" wrapText="1"/>
    </xf>
    <xf numFmtId="0" fontId="0" fillId="0" borderId="22" pivotButton="0" quotePrefix="0" xfId="0"/>
    <xf numFmtId="0" fontId="14" fillId="4" borderId="22" applyAlignment="1" pivotButton="0" quotePrefix="0" xfId="0">
      <alignment horizontal="center" vertical="center" wrapText="1"/>
    </xf>
  </cellXfs>
  <cellStyles count="3">
    <cellStyle name="Normal" xfId="0" builtinId="0"/>
    <cellStyle name="Comma 2" xfId="1"/>
    <cellStyle name="Comma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481059</colOff>
      <row>1</row>
      <rowOff>70556</rowOff>
    </from>
    <to>
      <col>1</col>
      <colOff>563288</colOff>
      <row>1</row>
      <rowOff>689681</rowOff>
    </to>
    <pic>
      <nvPicPr>
        <cNvPr id="9" name="Picture 8" descr="CA_logo_icai_small2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481059" y="262980"/>
          <a:ext cx="749300" cy="6191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1</colOff>
      <row>47</row>
      <rowOff>64140</rowOff>
    </from>
    <to>
      <col>6</col>
      <colOff>1205231</colOff>
      <row>51</row>
      <rowOff>46540</rowOff>
    </to>
    <pic>
      <nvPicPr>
        <cNvPr id="12" name="image3.jpeg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5605961" y="9576312"/>
          <a:ext cx="1205230" cy="72644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7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L62"/>
  <sheetViews>
    <sheetView tabSelected="1" zoomScale="99" zoomScaleNormal="99" workbookViewId="0">
      <selection activeCell="A3" sqref="A3:H3"/>
    </sheetView>
  </sheetViews>
  <sheetFormatPr baseColWidth="8" defaultRowHeight="14.5"/>
  <cols>
    <col width="9.54296875" customWidth="1" min="1" max="1"/>
    <col width="10" customWidth="1" min="2" max="2"/>
    <col width="18.90625" customWidth="1" min="3" max="3"/>
    <col width="10" customWidth="1" min="4" max="4"/>
    <col width="17.90625" customWidth="1" min="5" max="5"/>
    <col width="13.90625" customWidth="1" min="6" max="6"/>
    <col width="23.08984375" customWidth="1" min="7" max="7"/>
    <col width="19.90625" customWidth="1" min="8" max="8"/>
  </cols>
  <sheetData>
    <row r="1" ht="15" customHeight="1" thickBot="1"/>
    <row r="2" ht="60" customHeight="1" thickBot="1">
      <c r="A2" s="32" t="inlineStr">
        <is>
          <t xml:space="preserve">  ABNJ &amp; Co</t>
        </is>
      </c>
      <c r="B2" s="7" t="n"/>
      <c r="C2" s="7" t="n"/>
      <c r="D2" s="7" t="n"/>
      <c r="E2" s="7" t="n"/>
      <c r="F2" s="89" t="inlineStr">
        <is>
          <t>C.A. Ashish Kanodia, F.C.A, DISA (ICAI).             Cell:  9322426322
C.A. Brij.G.Kalla, B.Com, F.C.A.                             Cell: 9167245281
C.A. Nilesh Mundada A.C.A.                                 Cell: 9820736037
C.A. Jay J. Dedhia, A.C.A, C.S.                               Cell: 9987066652</t>
        </is>
      </c>
      <c r="G2" s="7" t="n"/>
      <c r="H2" s="8" t="n"/>
    </row>
    <row r="3" ht="16" customHeight="1" thickBot="1">
      <c r="A3" s="90" t="inlineStr">
        <is>
          <t>Private Limited</t>
        </is>
      </c>
      <c r="B3" s="7" t="n"/>
      <c r="C3" s="7" t="n"/>
      <c r="D3" s="7" t="n"/>
      <c r="E3" s="7" t="n"/>
      <c r="F3" s="7" t="n"/>
      <c r="G3" s="7" t="n"/>
      <c r="H3" s="8" t="n"/>
    </row>
    <row r="4" ht="15" customHeight="1" thickBot="1">
      <c r="A4" s="91" t="inlineStr">
        <is>
          <t>Add:-1106, Sureshwari Techno IT Park, Eskay Resort, Borivali West Mumbai- 400092</t>
        </is>
      </c>
      <c r="B4" s="7" t="n"/>
      <c r="C4" s="7" t="n"/>
      <c r="D4" s="7" t="n"/>
      <c r="E4" s="7" t="n"/>
      <c r="F4" s="7" t="n"/>
      <c r="G4" s="7" t="n"/>
      <c r="H4" s="8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92" t="n"/>
      <c r="B6" s="7" t="n"/>
      <c r="C6" s="7" t="n"/>
      <c r="D6" s="7" t="n"/>
      <c r="E6" s="7" t="n"/>
      <c r="F6" s="7" t="n"/>
      <c r="G6" s="7" t="n"/>
      <c r="H6" s="8" t="n"/>
    </row>
    <row r="7">
      <c r="A7" s="93" t="inlineStr">
        <is>
          <t>HDFC Bank Ltd</t>
        </is>
      </c>
      <c r="B7" s="94" t="n"/>
      <c r="C7" s="94" t="n"/>
      <c r="D7" s="94" t="n"/>
      <c r="E7" s="95" t="n"/>
      <c r="F7" s="23" t="inlineStr">
        <is>
          <t xml:space="preserve">Bill No. : </t>
        </is>
      </c>
      <c r="G7" s="24" t="n"/>
      <c r="H7" s="25" t="n"/>
    </row>
    <row r="8" ht="14.4" customHeight="1">
      <c r="A8" s="96" t="inlineStr">
        <is>
          <t xml:space="preserve">HDFC Bank House, </t>
        </is>
      </c>
      <c r="E8" s="17" t="n"/>
      <c r="F8" s="53" t="inlineStr">
        <is>
          <t>PAN: AASFA0439K</t>
        </is>
      </c>
      <c r="H8" s="17" t="n"/>
    </row>
    <row r="9" ht="14.4" customHeight="1">
      <c r="A9" s="97" t="inlineStr">
        <is>
          <t>Senapati Bapat Marg, Lower Parel,</t>
        </is>
      </c>
      <c r="E9" s="17" t="n"/>
      <c r="F9" s="53" t="inlineStr">
        <is>
          <t>GST No:  27AASFA0439K3Z4</t>
        </is>
      </c>
      <c r="H9" s="17" t="n"/>
      <c r="I9" s="4" t="n"/>
    </row>
    <row r="10" ht="14.4" customHeight="1">
      <c r="A10" s="97" t="inlineStr">
        <is>
          <t>Mumbai, Maharashtra, 400013</t>
        </is>
      </c>
      <c r="E10" s="17" t="n"/>
      <c r="F10" s="98" t="n"/>
      <c r="H10" s="17" t="n"/>
      <c r="I10" s="4" t="n"/>
    </row>
    <row r="11">
      <c r="A11" s="71" t="inlineStr">
        <is>
          <t xml:space="preserve">GST NO: </t>
        </is>
      </c>
      <c r="B11" s="79" t="inlineStr">
        <is>
          <t>27AAACH2702H6ZV</t>
        </is>
      </c>
      <c r="C11" s="79" t="n"/>
      <c r="D11" s="79" t="n"/>
      <c r="E11" s="28" t="n"/>
      <c r="F11" s="98" t="n"/>
      <c r="H11" s="17" t="n"/>
      <c r="I11" s="4" t="n"/>
    </row>
    <row r="12">
      <c r="A12" s="77" t="inlineStr">
        <is>
          <t xml:space="preserve">PAN:   </t>
        </is>
      </c>
      <c r="B12" s="78" t="inlineStr">
        <is>
          <t>AAACH2702H</t>
        </is>
      </c>
      <c r="C12" s="79" t="n"/>
      <c r="D12" s="79" t="n"/>
      <c r="E12" s="28" t="n"/>
      <c r="F12" s="51" t="inlineStr">
        <is>
          <t>Bill Date:</t>
        </is>
      </c>
      <c r="G12" s="52" t="inlineStr">
        <is>
          <t>28-02-2026</t>
        </is>
      </c>
      <c r="H12" s="53" t="n"/>
    </row>
    <row r="13">
      <c r="A13" s="79" t="inlineStr">
        <is>
          <t xml:space="preserve">Kind Attn: </t>
        </is>
      </c>
      <c r="B13" s="79" t="inlineStr">
        <is>
          <t>Mr. Steve Saldanha</t>
        </is>
      </c>
      <c r="C13" s="79" t="n"/>
      <c r="D13" s="79" t="n"/>
      <c r="E13" s="28" t="n"/>
      <c r="F13" s="51" t="inlineStr">
        <is>
          <t>Due Date:</t>
        </is>
      </c>
      <c r="G13" s="52" t="inlineStr">
        <is>
          <t>03-03-2026</t>
        </is>
      </c>
      <c r="H13" s="53" t="n"/>
    </row>
    <row r="14">
      <c r="A14" s="99" t="n"/>
      <c r="E14" s="100" t="n"/>
      <c r="F14" s="50" t="inlineStr">
        <is>
          <t>SAC Code:  998224 (Other Similar Services n.e.c)</t>
        </is>
      </c>
      <c r="H14" s="17" t="n"/>
      <c r="K14" t="inlineStr">
        <is>
          <t> </t>
        </is>
      </c>
      <c r="L14" t="inlineStr">
        <is>
          <t> </t>
        </is>
      </c>
    </row>
    <row r="15" ht="15" customHeight="1" thickBot="1">
      <c r="A15" s="99" t="n"/>
      <c r="E15" s="100" t="n"/>
      <c r="F15" s="101" t="inlineStr">
        <is>
          <t>Place of Service: Mumbai</t>
        </is>
      </c>
      <c r="H15" s="17" t="n"/>
      <c r="I15" s="5" t="n"/>
      <c r="K15" s="102" t="n"/>
    </row>
    <row r="16" ht="15" customHeight="1" thickBot="1">
      <c r="A16" s="60" t="n"/>
      <c r="B16" s="7" t="n"/>
      <c r="C16" s="7" t="n"/>
      <c r="D16" s="7" t="n"/>
      <c r="E16" s="8" t="n"/>
      <c r="F16" s="60" t="n"/>
      <c r="G16" s="10" t="n"/>
      <c r="H16" s="8" t="n"/>
    </row>
    <row r="17" ht="16.5" customHeight="1">
      <c r="A17" s="103" t="inlineStr">
        <is>
          <t>Invoice for support to bank for distribution of tax notices by email, for the period: 01 Feb 2026 to 28 Feb 2026</t>
        </is>
      </c>
      <c r="B17" s="94" t="n"/>
      <c r="C17" s="94" t="n"/>
      <c r="D17" s="94" t="n"/>
      <c r="E17" s="94" t="n"/>
      <c r="F17" s="94" t="n"/>
      <c r="G17" s="94" t="n"/>
      <c r="H17" s="104" t="n">
        <v>8363</v>
      </c>
    </row>
    <row r="18">
      <c r="A18" s="12" t="n"/>
      <c r="H18" s="105" t="n"/>
    </row>
    <row r="19">
      <c r="A19" s="12" t="n"/>
      <c r="H19" s="105" t="n"/>
    </row>
    <row r="20" ht="15" customHeight="1" thickBot="1">
      <c r="A20" s="18" t="n"/>
      <c r="B20" s="21" t="n"/>
      <c r="C20" s="21" t="n"/>
      <c r="D20" s="21" t="n"/>
      <c r="E20" s="21" t="n"/>
      <c r="F20" s="21" t="n"/>
      <c r="G20" s="21" t="n"/>
      <c r="H20" s="106" t="n"/>
    </row>
    <row r="21" ht="17.5" customHeight="1" thickBot="1">
      <c r="A21" s="58" t="inlineStr">
        <is>
          <t>Add : SGST @ 9%</t>
        </is>
      </c>
      <c r="B21" s="7" t="n"/>
      <c r="C21" s="7" t="n"/>
      <c r="D21" s="7" t="n"/>
      <c r="E21" s="7" t="n"/>
      <c r="F21" s="7" t="n"/>
      <c r="G21" s="8" t="n"/>
      <c r="H21" s="104" t="n">
        <v>753</v>
      </c>
    </row>
    <row r="22" ht="15.75" customHeight="1" thickBot="1">
      <c r="A22" s="58" t="inlineStr">
        <is>
          <t>Add : CGST @ 9%</t>
        </is>
      </c>
      <c r="B22" s="7" t="n"/>
      <c r="C22" s="7" t="n"/>
      <c r="D22" s="7" t="n"/>
      <c r="E22" s="7" t="n"/>
      <c r="F22" s="7" t="n"/>
      <c r="G22" s="8" t="n"/>
      <c r="H22" s="104" t="n">
        <v>753</v>
      </c>
    </row>
    <row r="23" ht="15" customHeight="1">
      <c r="A23" s="12" t="n"/>
      <c r="H23" s="104" t="n">
        <v>9868</v>
      </c>
    </row>
    <row r="24" ht="16.5" customHeight="1">
      <c r="A24" s="13" t="inlineStr">
        <is>
          <t>Rupees:</t>
        </is>
      </c>
      <c r="B24" s="14" t="inlineStr">
        <is>
          <t>Nine Thousand, Eight Hundred And Sixty-Eight Only</t>
        </is>
      </c>
      <c r="H24" s="105" t="n"/>
    </row>
    <row r="25" ht="15.75" customHeight="1" thickBot="1">
      <c r="A25" s="15" t="n"/>
      <c r="B25" s="16" t="n"/>
      <c r="C25" s="16" t="n"/>
      <c r="D25" s="16" t="n"/>
      <c r="E25" s="16" t="n"/>
      <c r="F25" s="16" t="n"/>
      <c r="G25" s="16" t="n"/>
      <c r="H25" s="106" t="n"/>
    </row>
    <row r="26" ht="15" customHeight="1" thickTop="1">
      <c r="A26" s="12" t="n"/>
      <c r="H26" s="17" t="n"/>
    </row>
    <row r="27" ht="14.4" customHeight="1">
      <c r="A27" s="12" t="n"/>
      <c r="H27" s="17" t="n"/>
    </row>
    <row r="28" ht="14.4" customHeight="1">
      <c r="A28" s="12" t="n"/>
      <c r="H28" s="17" t="n"/>
    </row>
    <row r="29">
      <c r="A29" s="12" t="n"/>
      <c r="H29" s="17" t="n"/>
    </row>
    <row r="30">
      <c r="A30" s="12" t="n"/>
      <c r="H30" s="17" t="n"/>
    </row>
    <row r="31" ht="15" customHeight="1" thickBot="1">
      <c r="A31" s="12" t="n"/>
      <c r="H31" s="17" t="n"/>
    </row>
    <row r="32" ht="15" customHeight="1" thickBot="1">
      <c r="A32" s="107" t="inlineStr">
        <is>
          <t>Bank Details:</t>
        </is>
      </c>
      <c r="B32" s="7" t="n"/>
      <c r="C32" s="8" t="n"/>
      <c r="H32" s="17" t="n"/>
    </row>
    <row r="33">
      <c r="A33" s="12" t="inlineStr">
        <is>
          <t>Name:</t>
        </is>
      </c>
      <c r="B33" s="63" t="inlineStr">
        <is>
          <t>ABNJ &amp; Co.</t>
        </is>
      </c>
      <c r="C33" s="17" t="n"/>
      <c r="H33" s="17" t="n"/>
    </row>
    <row r="34">
      <c r="A34" s="12" t="inlineStr">
        <is>
          <t>Bank Name:</t>
        </is>
      </c>
      <c r="B34" s="63" t="inlineStr">
        <is>
          <t>HDFC BANK</t>
        </is>
      </c>
      <c r="C34" s="17" t="n"/>
      <c r="H34" s="17" t="n"/>
    </row>
    <row r="35">
      <c r="A35" s="12" t="inlineStr">
        <is>
          <t>A/c No.:</t>
        </is>
      </c>
      <c r="B35" s="108" t="inlineStr">
        <is>
          <t>09977630000701</t>
        </is>
      </c>
      <c r="C35" s="17" t="n"/>
      <c r="H35" s="17" t="n"/>
    </row>
    <row r="36">
      <c r="A36" s="12" t="inlineStr">
        <is>
          <t>IFSC Code:</t>
        </is>
      </c>
      <c r="B36" s="63" t="inlineStr">
        <is>
          <t>HDFC0000997</t>
        </is>
      </c>
      <c r="C36" s="17" t="n"/>
      <c r="H36" s="17" t="n"/>
    </row>
    <row r="37" ht="15" customHeight="1" thickBot="1">
      <c r="A37" s="18" t="inlineStr">
        <is>
          <t>MICR No:</t>
        </is>
      </c>
      <c r="B37" s="66" t="n">
        <v>400240100</v>
      </c>
      <c r="C37" s="22" t="n"/>
      <c r="H37" s="17" t="n"/>
    </row>
    <row r="38">
      <c r="A38" s="12" t="n"/>
      <c r="H38" s="17" t="n"/>
    </row>
    <row r="39">
      <c r="A39" s="12" t="n"/>
      <c r="H39" s="17" t="n"/>
    </row>
    <row r="40">
      <c r="A40" s="12" t="n"/>
      <c r="H40" s="17" t="n"/>
    </row>
    <row r="41">
      <c r="A41" s="12" t="n"/>
      <c r="H41" s="17" t="n"/>
    </row>
    <row r="42">
      <c r="A42" s="12" t="n"/>
      <c r="H42" s="17" t="n"/>
    </row>
    <row r="43">
      <c r="A43" s="12" t="n"/>
      <c r="H43" s="17" t="n"/>
    </row>
    <row r="44">
      <c r="A44" s="12" t="n"/>
      <c r="H44" s="17" t="n"/>
    </row>
    <row r="45" ht="15.5" customHeight="1">
      <c r="A45" s="12" t="n"/>
      <c r="G45" s="14" t="inlineStr">
        <is>
          <t xml:space="preserve">    For Jobuss Resources Pvt. Ltd.</t>
        </is>
      </c>
      <c r="H45" s="17" t="n"/>
    </row>
    <row r="46">
      <c r="A46" s="12" t="n"/>
      <c r="H46" s="17" t="n"/>
    </row>
    <row r="47">
      <c r="A47" s="12" t="n"/>
      <c r="H47" s="17" t="n"/>
    </row>
    <row r="48">
      <c r="A48" s="12" t="n"/>
      <c r="H48" s="17" t="n"/>
    </row>
    <row r="49">
      <c r="A49" s="12" t="n"/>
      <c r="H49" s="17" t="n"/>
    </row>
    <row r="50">
      <c r="A50" s="12" t="n"/>
      <c r="H50" s="17" t="n"/>
    </row>
    <row r="51">
      <c r="A51" s="12" t="n"/>
      <c r="H51" s="17" t="n"/>
    </row>
    <row r="52">
      <c r="A52" s="12" t="n"/>
      <c r="H52" s="17" t="n"/>
    </row>
    <row r="53" ht="15.5" customHeight="1">
      <c r="A53" s="12" t="n"/>
      <c r="G53" s="14" t="inlineStr">
        <is>
          <t xml:space="preserve">            Authorized Signatory</t>
        </is>
      </c>
      <c r="H53" s="17" t="n"/>
    </row>
    <row r="54" ht="15.5" customHeight="1">
      <c r="A54" s="12" t="n"/>
      <c r="G54" s="14" t="n"/>
      <c r="H54" s="17" t="n"/>
    </row>
    <row r="55" ht="15.5" customHeight="1">
      <c r="A55" s="12" t="n"/>
      <c r="G55" s="14" t="n"/>
      <c r="H55" s="17" t="n"/>
    </row>
    <row r="56" ht="15.5" customHeight="1">
      <c r="A56" s="12" t="n"/>
      <c r="G56" s="14" t="n"/>
      <c r="H56" s="17" t="n"/>
    </row>
    <row r="57" ht="15.5" customHeight="1">
      <c r="A57" s="12" t="n"/>
      <c r="G57" s="14" t="n"/>
      <c r="H57" s="17" t="n"/>
    </row>
    <row r="58">
      <c r="A58" s="12" t="n"/>
      <c r="H58" s="17" t="n"/>
    </row>
    <row r="59" ht="15.5" customHeight="1">
      <c r="A59" s="19" t="inlineStr">
        <is>
          <t>●    Early Remittance is Solicited.</t>
        </is>
      </c>
      <c r="B59" s="20" t="n"/>
      <c r="H59" s="17" t="n"/>
    </row>
    <row r="60" ht="15.75" customHeight="1">
      <c r="A60" s="88" t="inlineStr">
        <is>
          <t xml:space="preserve">  ●   GST No. 27AASFA0439K3Z4 ;  SAC Code – 998224;Category: Accounting , Auditing And Bookkeeping Services </t>
        </is>
      </c>
      <c r="B60" s="86" t="n"/>
      <c r="C60" s="86" t="n"/>
      <c r="D60" s="86" t="n"/>
      <c r="E60" s="86" t="n"/>
      <c r="F60" s="86" t="n"/>
      <c r="G60" s="86" t="n"/>
      <c r="H60" s="87" t="n"/>
    </row>
    <row r="61" ht="22.5" customHeight="1">
      <c r="A61" s="88" t="inlineStr">
        <is>
          <t>Sub Category : Other similar Services n.e.c.</t>
        </is>
      </c>
      <c r="B61" s="86" t="n"/>
      <c r="C61" s="86" t="n"/>
      <c r="D61" s="86" t="n"/>
      <c r="E61" s="86" t="n"/>
      <c r="F61" s="86" t="n"/>
      <c r="G61" s="86" t="n"/>
      <c r="H61" s="87" t="n"/>
    </row>
    <row r="62" ht="15" customHeight="1" thickBot="1">
      <c r="A62" s="18" t="n"/>
      <c r="B62" s="21" t="n"/>
      <c r="C62" s="21" t="n"/>
      <c r="D62" s="21" t="n"/>
      <c r="E62" s="21" t="n"/>
      <c r="F62" s="21" t="n"/>
      <c r="G62" s="21" t="n"/>
      <c r="H62" s="22" t="n"/>
    </row>
  </sheetData>
  <mergeCells count="28">
    <mergeCell ref="A15:E15"/>
    <mergeCell ref="A22:G22"/>
    <mergeCell ref="F8:H8"/>
    <mergeCell ref="F2:H2"/>
    <mergeCell ref="A6:H6"/>
    <mergeCell ref="A32:C32"/>
    <mergeCell ref="A7:E7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8:E8"/>
    <mergeCell ref="A14:E14"/>
    <mergeCell ref="F11:H11"/>
    <mergeCell ref="A4:H4"/>
    <mergeCell ref="F10:H10"/>
    <mergeCell ref="B33:C33"/>
    <mergeCell ref="A21:G21"/>
    <mergeCell ref="A10:E10"/>
    <mergeCell ref="B36:C36"/>
    <mergeCell ref="F15:H15"/>
    <mergeCell ref="B35:C35"/>
    <mergeCell ref="A9:E9"/>
  </mergeCells>
  <pageMargins left="0" right="0" top="0" bottom="0" header="0" footer="0"/>
  <pageSetup orientation="portrait" paperSize="9" scale="6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30" customHeight="1">
      <c r="A1" s="109" t="inlineStr">
        <is>
          <t>Kind Attention Person</t>
        </is>
      </c>
      <c r="B1" s="109" t="inlineStr">
        <is>
          <t>Employee Code</t>
        </is>
      </c>
      <c r="C1" s="109" t="inlineStr">
        <is>
          <t>Employee Name</t>
        </is>
      </c>
      <c r="D1" s="109" t="inlineStr">
        <is>
          <t>Billing</t>
        </is>
      </c>
      <c r="E1" s="109" t="inlineStr">
        <is>
          <t>No of days</t>
        </is>
      </c>
      <c r="F1" s="109" t="inlineStr">
        <is>
          <t>Eligible Days</t>
        </is>
      </c>
      <c r="G1" s="109" t="inlineStr">
        <is>
          <t>No of Saturdays</t>
        </is>
      </c>
      <c r="H1" s="109" t="inlineStr">
        <is>
          <t>No of Sundays</t>
        </is>
      </c>
      <c r="I1" s="109" t="inlineStr">
        <is>
          <t>No of Holidays</t>
        </is>
      </c>
      <c r="J1" s="109" t="inlineStr">
        <is>
          <t>Total Present</t>
        </is>
      </c>
      <c r="K1" s="109" t="inlineStr">
        <is>
          <t>Total Working Days</t>
        </is>
      </c>
      <c r="L1" s="109" t="inlineStr">
        <is>
          <t>Absents this Month</t>
        </is>
      </c>
      <c r="M1" s="109" t="inlineStr">
        <is>
          <t>Adjustment of Days</t>
        </is>
      </c>
      <c r="N1" s="109" t="inlineStr">
        <is>
          <t>Total Payable Days</t>
        </is>
      </c>
      <c r="O1" s="109" t="inlineStr">
        <is>
          <t>Total Payable Billing</t>
        </is>
      </c>
      <c r="P1" s="109" t="inlineStr">
        <is>
          <t>Charges</t>
        </is>
      </c>
      <c r="Q1" s="109" t="inlineStr">
        <is>
          <t>Out of Pocket Exp</t>
        </is>
      </c>
      <c r="R1" s="109" t="inlineStr">
        <is>
          <t>Arrears</t>
        </is>
      </c>
      <c r="S1" s="109" t="inlineStr">
        <is>
          <t>Total</t>
        </is>
      </c>
      <c r="T1" s="109" t="inlineStr">
        <is>
          <t>Grand Total</t>
        </is>
      </c>
      <c r="U1" s="109" t="inlineStr">
        <is>
          <t>Remark</t>
        </is>
      </c>
      <c r="V1" s="109" t="inlineStr">
        <is>
          <t>CGST @9%</t>
        </is>
      </c>
      <c r="W1" s="109" t="inlineStr">
        <is>
          <t>SGST @9%</t>
        </is>
      </c>
      <c r="X1" s="109" t="inlineStr">
        <is>
          <t>IGST @18%</t>
        </is>
      </c>
    </row>
    <row r="2">
      <c r="A2" s="110" t="inlineStr">
        <is>
          <t>Steve Saldhana</t>
        </is>
      </c>
      <c r="B2" s="110" t="inlineStr">
        <is>
          <t>BGK009</t>
        </is>
      </c>
      <c r="C2" s="110" t="inlineStr">
        <is>
          <t>CHETAN NARAYAN POOJARI</t>
        </is>
      </c>
      <c r="D2" s="110" t="n">
        <v>15000</v>
      </c>
      <c r="E2" s="110" t="n">
        <v>28</v>
      </c>
      <c r="F2" s="110" t="n">
        <v>28</v>
      </c>
      <c r="G2" s="110" t="n">
        <v>0</v>
      </c>
      <c r="H2" s="110" t="n">
        <v>4</v>
      </c>
      <c r="I2" s="110" t="n">
        <v>0</v>
      </c>
      <c r="J2" s="110" t="n">
        <v>0</v>
      </c>
      <c r="K2" s="110" t="n">
        <v>4</v>
      </c>
      <c r="L2" s="110" t="n">
        <v>0</v>
      </c>
      <c r="M2" s="110" t="n">
        <v>0</v>
      </c>
      <c r="N2" s="110" t="n">
        <v>4</v>
      </c>
      <c r="O2" s="110" t="n">
        <v>2142.86</v>
      </c>
      <c r="P2" s="110" t="n">
        <v>0</v>
      </c>
      <c r="Q2" s="110" t="n">
        <v>0</v>
      </c>
      <c r="R2" s="110" t="n">
        <v>0</v>
      </c>
      <c r="S2" s="110" t="n">
        <v>2142.86</v>
      </c>
      <c r="T2" s="110" t="n">
        <v>2528.57</v>
      </c>
      <c r="U2" s="110" t="n">
        <v/>
      </c>
      <c r="V2" s="110" t="n">
        <v>192.86</v>
      </c>
      <c r="W2" s="110" t="n">
        <v>192.86</v>
      </c>
      <c r="X2" s="110" t="n">
        <v/>
      </c>
    </row>
    <row r="3">
      <c r="A3" s="110" t="inlineStr">
        <is>
          <t>Steve Saldhana</t>
        </is>
      </c>
      <c r="B3" s="110" t="inlineStr">
        <is>
          <t>AB10032</t>
        </is>
      </c>
      <c r="C3" s="110" t="inlineStr">
        <is>
          <t>VISHAL RAMESH GAWADE</t>
        </is>
      </c>
      <c r="D3" s="110" t="n">
        <v>30038</v>
      </c>
      <c r="E3" s="110" t="n">
        <v>28</v>
      </c>
      <c r="F3" s="110" t="n">
        <v>28</v>
      </c>
      <c r="G3" s="110" t="n">
        <v>0</v>
      </c>
      <c r="H3" s="110" t="n">
        <v>4</v>
      </c>
      <c r="I3" s="110" t="n">
        <v>0</v>
      </c>
      <c r="J3" s="110" t="n">
        <v>0</v>
      </c>
      <c r="K3" s="110" t="n">
        <v>4</v>
      </c>
      <c r="L3" s="110" t="n">
        <v>0</v>
      </c>
      <c r="M3" s="110" t="n">
        <v>0</v>
      </c>
      <c r="N3" s="110" t="n">
        <v>4</v>
      </c>
      <c r="O3" s="110" t="n">
        <v>4291.14</v>
      </c>
      <c r="P3" s="110" t="n">
        <v>0</v>
      </c>
      <c r="Q3" s="110" t="n">
        <v>0</v>
      </c>
      <c r="R3" s="110" t="n">
        <v>0</v>
      </c>
      <c r="S3" s="110" t="n">
        <v>4291.14</v>
      </c>
      <c r="T3" s="110" t="n">
        <v>5063.55</v>
      </c>
      <c r="U3" s="110" t="n">
        <v/>
      </c>
      <c r="V3" s="110" t="n">
        <v>386.2</v>
      </c>
      <c r="W3" s="110" t="n">
        <v>386.2</v>
      </c>
      <c r="X3" s="110" t="n">
        <v/>
      </c>
    </row>
    <row r="4">
      <c r="A4" s="110" t="inlineStr">
        <is>
          <t>Steve Saldhana</t>
        </is>
      </c>
      <c r="B4" s="110" t="inlineStr">
        <is>
          <t>AB10089</t>
        </is>
      </c>
      <c r="C4" s="110" t="inlineStr">
        <is>
          <t>TARANNUM SHAIKH</t>
        </is>
      </c>
      <c r="D4" s="110" t="n">
        <v>13500</v>
      </c>
      <c r="E4" s="110" t="n">
        <v>28</v>
      </c>
      <c r="F4" s="110" t="n">
        <v>28</v>
      </c>
      <c r="G4" s="110" t="n">
        <v>0</v>
      </c>
      <c r="H4" s="110" t="n">
        <v>4</v>
      </c>
      <c r="I4" s="110" t="n">
        <v>0</v>
      </c>
      <c r="J4" s="110" t="n">
        <v>0</v>
      </c>
      <c r="K4" s="110" t="n">
        <v>4</v>
      </c>
      <c r="L4" s="110" t="n">
        <v>0</v>
      </c>
      <c r="M4" s="110" t="n">
        <v>0</v>
      </c>
      <c r="N4" s="110" t="n">
        <v>4</v>
      </c>
      <c r="O4" s="110" t="n">
        <v>1928.57</v>
      </c>
      <c r="P4" s="110" t="n">
        <v>0</v>
      </c>
      <c r="Q4" s="110" t="n">
        <v>0</v>
      </c>
      <c r="R4" s="110" t="n">
        <v>0</v>
      </c>
      <c r="S4" s="110" t="n">
        <v>1928.57</v>
      </c>
      <c r="T4" s="110" t="n">
        <v>2275.71</v>
      </c>
      <c r="U4" s="110" t="n">
        <v/>
      </c>
      <c r="V4" s="110" t="n">
        <v>173.57</v>
      </c>
      <c r="W4" s="110" t="n">
        <v>173.57</v>
      </c>
      <c r="X4" s="110" t="n">
        <v/>
      </c>
    </row>
    <row r="5">
      <c r="A5" s="111" t="inlineStr">
        <is>
          <t>TOTAL</t>
        </is>
      </c>
      <c r="B5" s="111" t="n"/>
      <c r="C5" s="111" t="n"/>
      <c r="D5" s="111">
        <f>ROUND(SUM(D2:D4), 0)</f>
        <v/>
      </c>
      <c r="E5" s="111">
        <f>ROUND(SUM(E2:E4), 0)</f>
        <v/>
      </c>
      <c r="F5" s="111">
        <f>ROUND(SUM(F2:F4), 0)</f>
        <v/>
      </c>
      <c r="G5" s="111">
        <f>ROUND(SUM(G2:G4), 0)</f>
        <v/>
      </c>
      <c r="H5" s="111">
        <f>ROUND(SUM(H2:H4), 0)</f>
        <v/>
      </c>
      <c r="I5" s="111">
        <f>ROUND(SUM(I2:I4), 0)</f>
        <v/>
      </c>
      <c r="J5" s="111">
        <f>ROUND(SUM(J2:J4), 0)</f>
        <v/>
      </c>
      <c r="K5" s="111">
        <f>ROUND(SUM(K2:K4), 0)</f>
        <v/>
      </c>
      <c r="L5" s="111">
        <f>ROUND(SUM(L2:L4), 0)</f>
        <v/>
      </c>
      <c r="M5" s="111">
        <f>ROUND(SUM(M2:M4), 0)</f>
        <v/>
      </c>
      <c r="N5" s="111">
        <f>ROUND(SUM(N2:N4), 0)</f>
        <v/>
      </c>
      <c r="O5" s="111">
        <f>ROUND(SUM(O2:O4), 0)</f>
        <v/>
      </c>
      <c r="P5" s="111">
        <f>ROUND(SUM(P2:P4), 0)</f>
        <v/>
      </c>
      <c r="Q5" s="111">
        <f>ROUND(SUM(Q2:Q4), 0)</f>
        <v/>
      </c>
      <c r="R5" s="111">
        <f>ROUND(SUM(R2:R4), 0)</f>
        <v/>
      </c>
      <c r="S5" s="111">
        <f>ROUND(SUM(S2:S4), 0)</f>
        <v/>
      </c>
      <c r="T5" s="111">
        <f>ROUND(SUM(S5), 0)</f>
        <v/>
      </c>
      <c r="U5" s="111" t="n"/>
      <c r="V5" s="111">
        <f>CEILING(SUM(V2:V4), 1)</f>
        <v/>
      </c>
      <c r="W5" s="111">
        <f>CEILING(SUM(W2:W4), 1)</f>
        <v/>
      </c>
      <c r="X5" s="111">
        <f>ROUND(SUM(X2:X4), 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2025-09-26T12:36:15Z</dcterms:created>
  <dcterms:modified xsi:type="dcterms:W3CDTF">2026-02-28T11:21:53Z</dcterms:modified>
  <cp:lastModifiedBy>Kanishk Maheshwari</cp:lastModifiedBy>
  <cp:lastPrinted>2026-02-09T11:42:21Z</cp:lastPrinted>
</cp:coreProperties>
</file>