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Sanjay Jain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17" zoomScale="75" zoomScaleNormal="55" workbookViewId="0">
      <selection activeCell="A17" sqref="A17:G20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12" t="n"/>
      <c r="C2" s="12" t="n"/>
      <c r="D2" s="12" t="n"/>
      <c r="E2" s="12" t="n"/>
      <c r="F2" s="73" t="n"/>
      <c r="G2" s="12" t="n"/>
      <c r="H2" s="13" t="n"/>
    </row>
    <row r="3" ht="17.4" customHeight="1" thickBot="1">
      <c r="A3" s="83" t="inlineStr">
        <is>
          <t>Private Limited</t>
        </is>
      </c>
      <c r="B3" s="12" t="n"/>
      <c r="C3" s="12" t="n"/>
      <c r="D3" s="12" t="n"/>
      <c r="E3" s="12" t="n"/>
      <c r="F3" s="12" t="n"/>
      <c r="G3" s="12" t="n"/>
      <c r="H3" s="13" t="n"/>
    </row>
    <row r="4" ht="15" customHeight="1" thickBot="1">
      <c r="A4" s="84" t="inlineStr">
        <is>
          <t>Add:-1106, Sureshwari Techno IT Park, Eskay Resort, Borivali West Mumbai- 400092</t>
        </is>
      </c>
      <c r="B4" s="12" t="n"/>
      <c r="C4" s="12" t="n"/>
      <c r="D4" s="12" t="n"/>
      <c r="E4" s="12" t="n"/>
      <c r="F4" s="12" t="n"/>
      <c r="G4" s="12" t="n"/>
      <c r="H4" s="13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2" t="n"/>
      <c r="C6" s="12" t="n"/>
      <c r="D6" s="12" t="n"/>
      <c r="E6" s="12" t="n"/>
      <c r="F6" s="12" t="n"/>
      <c r="G6" s="12" t="n"/>
      <c r="H6" s="13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8" t="n"/>
      <c r="H7" s="5" t="n"/>
    </row>
    <row r="8">
      <c r="A8" s="89" t="inlineStr">
        <is>
          <t xml:space="preserve"> Reliance Corporate Park, 5 TTC Industrial area,</t>
        </is>
      </c>
      <c r="E8" s="90" t="n"/>
      <c r="F8" s="91" t="inlineStr">
        <is>
          <t>PAN: AAECJ2353C</t>
        </is>
      </c>
      <c r="H8" s="22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22" t="n"/>
      <c r="I9" s="6" t="n"/>
    </row>
    <row r="10">
      <c r="A10" s="92" t="inlineStr">
        <is>
          <t>Navi Mumbai-400701.</t>
        </is>
      </c>
      <c r="E10" s="90" t="n"/>
      <c r="F10" s="91" t="inlineStr">
        <is>
          <t>PF No.- KDMAL1720777000</t>
        </is>
      </c>
      <c r="H10" s="22" t="n"/>
      <c r="I10" s="6" t="n"/>
    </row>
    <row r="11">
      <c r="A11" s="7" t="inlineStr">
        <is>
          <t xml:space="preserve">GST NO: </t>
        </is>
      </c>
      <c r="B11" s="8" t="inlineStr">
        <is>
          <t>27AAACR5055K3Z5</t>
        </is>
      </c>
      <c r="C11" s="8" t="n"/>
      <c r="D11" s="8" t="n"/>
      <c r="E11" s="9" t="n"/>
      <c r="F11" s="91" t="inlineStr">
        <is>
          <t>ESIC No.- 35000427980001001</t>
        </is>
      </c>
      <c r="H11" s="22" t="n"/>
      <c r="I11" s="6" t="n"/>
    </row>
    <row r="12">
      <c r="A12" s="7" t="inlineStr">
        <is>
          <t xml:space="preserve">PAN:  </t>
        </is>
      </c>
      <c r="B12" s="8" t="inlineStr">
        <is>
          <t xml:space="preserve">AAACR5055K </t>
        </is>
      </c>
      <c r="C12" s="8" t="n"/>
      <c r="D12" s="8" t="n"/>
      <c r="E12" s="9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7" t="inlineStr">
        <is>
          <t xml:space="preserve">Kind Attn: </t>
        </is>
      </c>
      <c r="B13" s="8" t="inlineStr">
        <is>
          <t>Mr. Sanjay Jain</t>
        </is>
      </c>
      <c r="C13" s="8" t="n"/>
      <c r="D13" s="8" t="n"/>
      <c r="E13" s="9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22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0" t="n"/>
      <c r="F15" s="93" t="inlineStr">
        <is>
          <t>Place of Service: Navi Mumbai</t>
        </is>
      </c>
      <c r="H15" s="22" t="n"/>
      <c r="I15" s="10" t="n"/>
      <c r="K15" s="94" t="n"/>
    </row>
    <row r="16" ht="15" customHeight="1" thickBot="1">
      <c r="A16" s="49" t="n"/>
      <c r="B16" s="12" t="n"/>
      <c r="C16" s="12" t="n"/>
      <c r="D16" s="12" t="n"/>
      <c r="E16" s="13" t="n"/>
      <c r="F16" s="49" t="inlineStr">
        <is>
          <t xml:space="preserve">Vendor Code: </t>
        </is>
      </c>
      <c r="G16" s="15" t="n">
        <v>3347687</v>
      </c>
      <c r="H16" s="13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120714</v>
      </c>
    </row>
    <row r="18">
      <c r="A18" s="17" t="n"/>
      <c r="G18" s="22" t="n"/>
      <c r="H18" s="99" t="n"/>
    </row>
    <row r="19">
      <c r="A19" s="17" t="n"/>
      <c r="G19" s="22" t="n"/>
      <c r="H19" s="99" t="n"/>
    </row>
    <row r="20" ht="15" customHeight="1" thickBot="1">
      <c r="A20" s="23" t="n"/>
      <c r="B20" s="26" t="n"/>
      <c r="C20" s="26" t="n"/>
      <c r="D20" s="26" t="n"/>
      <c r="E20" s="26" t="n"/>
      <c r="F20" s="26" t="n"/>
      <c r="G20" s="27" t="n"/>
      <c r="H20" s="100" t="n"/>
    </row>
    <row r="21" ht="18" customHeight="1" thickBot="1">
      <c r="A21" s="47" t="inlineStr">
        <is>
          <t>Add : SGST @ 9%</t>
        </is>
      </c>
      <c r="B21" s="12" t="n"/>
      <c r="C21" s="12" t="n"/>
      <c r="D21" s="12" t="n"/>
      <c r="E21" s="12" t="n"/>
      <c r="F21" s="12" t="n"/>
      <c r="G21" s="13" t="n"/>
      <c r="H21" s="98" t="n">
        <v>10864</v>
      </c>
    </row>
    <row r="22" ht="15.75" customHeight="1" thickBot="1">
      <c r="A22" s="47" t="inlineStr">
        <is>
          <t>Add : CGST @ 9%</t>
        </is>
      </c>
      <c r="B22" s="12" t="n"/>
      <c r="C22" s="12" t="n"/>
      <c r="D22" s="12" t="n"/>
      <c r="E22" s="12" t="n"/>
      <c r="F22" s="12" t="n"/>
      <c r="G22" s="13" t="n"/>
      <c r="H22" s="98" t="n">
        <v>10864</v>
      </c>
    </row>
    <row r="23" ht="15" customHeight="1">
      <c r="A23" s="17" t="n"/>
      <c r="H23" s="98" t="n">
        <v>142443</v>
      </c>
    </row>
    <row r="24" ht="16.5" customHeight="1">
      <c r="A24" s="18" t="inlineStr">
        <is>
          <t>Rupees:</t>
        </is>
      </c>
      <c r="B24" s="19" t="inlineStr">
        <is>
          <t>One Lakh, Forty-Two Thousand, Four Hundred And Forty-Three Only</t>
        </is>
      </c>
      <c r="H24" s="99" t="n"/>
    </row>
    <row r="25" ht="15.75" customHeight="1" thickBot="1">
      <c r="A25" s="20" t="n"/>
      <c r="B25" s="21" t="n"/>
      <c r="C25" s="21" t="n"/>
      <c r="D25" s="21" t="n"/>
      <c r="E25" s="21" t="n"/>
      <c r="F25" s="21" t="n"/>
      <c r="G25" s="21" t="n"/>
      <c r="H25" s="100" t="n"/>
    </row>
    <row r="26" ht="15" customHeight="1" thickTop="1">
      <c r="A26" s="17" t="n"/>
      <c r="H26" s="22" t="n"/>
    </row>
    <row r="27">
      <c r="A27" s="17" t="n"/>
      <c r="H27" s="22" t="n"/>
    </row>
    <row r="28">
      <c r="A28" s="17" t="n"/>
      <c r="H28" s="22" t="n"/>
    </row>
    <row r="29">
      <c r="A29" s="17" t="n"/>
      <c r="H29" s="22" t="n"/>
    </row>
    <row r="30">
      <c r="A30" s="17" t="n"/>
      <c r="H30" s="22" t="n"/>
    </row>
    <row r="31" ht="15" customHeight="1" thickBot="1">
      <c r="A31" s="17" t="n"/>
      <c r="H31" s="22" t="n"/>
    </row>
    <row r="32" ht="15" customHeight="1" thickBot="1">
      <c r="A32" s="101" t="inlineStr">
        <is>
          <t>Bank Details:</t>
        </is>
      </c>
      <c r="B32" s="12" t="n"/>
      <c r="C32" s="13" t="n"/>
      <c r="H32" s="22" t="n"/>
    </row>
    <row r="33">
      <c r="A33" s="17" t="inlineStr">
        <is>
          <t>Name:</t>
        </is>
      </c>
      <c r="B33" s="52" t="inlineStr">
        <is>
          <t>Jobuss Resources Pvt. Ltd.</t>
        </is>
      </c>
      <c r="C33" s="22" t="n"/>
      <c r="H33" s="22" t="n"/>
    </row>
    <row r="34">
      <c r="A34" s="17" t="inlineStr">
        <is>
          <t>Bank Name:</t>
        </is>
      </c>
      <c r="B34" s="52" t="inlineStr">
        <is>
          <t>ICICI Bank</t>
        </is>
      </c>
      <c r="C34" s="22" t="n"/>
      <c r="H34" s="22" t="n"/>
    </row>
    <row r="35">
      <c r="A35" s="17" t="inlineStr">
        <is>
          <t>A/c No.:</t>
        </is>
      </c>
      <c r="B35" s="102" t="inlineStr">
        <is>
          <t>120905000960</t>
        </is>
      </c>
      <c r="C35" s="22" t="n"/>
      <c r="H35" s="22" t="n"/>
    </row>
    <row r="36">
      <c r="A36" s="17" t="inlineStr">
        <is>
          <t>IFSC Code:</t>
        </is>
      </c>
      <c r="B36" s="52" t="inlineStr">
        <is>
          <t>ICIC0001209</t>
        </is>
      </c>
      <c r="C36" s="22" t="n"/>
      <c r="H36" s="22" t="n"/>
    </row>
    <row r="37" ht="15" customHeight="1" thickBot="1">
      <c r="A37" s="23" t="inlineStr">
        <is>
          <t>MICR No:</t>
        </is>
      </c>
      <c r="B37" s="103" t="inlineStr">
        <is>
          <t>400229195</t>
        </is>
      </c>
      <c r="C37" s="27" t="n"/>
      <c r="H37" s="22" t="n"/>
    </row>
    <row r="38">
      <c r="A38" s="17" t="n"/>
      <c r="H38" s="22" t="n"/>
    </row>
    <row r="39">
      <c r="A39" s="17" t="n"/>
      <c r="H39" s="22" t="n"/>
    </row>
    <row r="40">
      <c r="A40" s="17" t="n"/>
      <c r="H40" s="22" t="n"/>
    </row>
    <row r="41">
      <c r="A41" s="17" t="n"/>
      <c r="H41" s="22" t="n"/>
    </row>
    <row r="42">
      <c r="A42" s="17" t="n"/>
      <c r="H42" s="22" t="n"/>
    </row>
    <row r="43">
      <c r="A43" s="17" t="n"/>
      <c r="H43" s="22" t="n"/>
    </row>
    <row r="44">
      <c r="A44" s="17" t="n"/>
      <c r="H44" s="22" t="n"/>
    </row>
    <row r="45" ht="15.6" customHeight="1">
      <c r="A45" s="17" t="n"/>
      <c r="G45" s="19" t="inlineStr">
        <is>
          <t xml:space="preserve">    For Jobuss Resources Pvt. Ltd.</t>
        </is>
      </c>
      <c r="H45" s="22" t="n"/>
    </row>
    <row r="46">
      <c r="A46" s="17" t="n"/>
      <c r="H46" s="22" t="n"/>
    </row>
    <row r="47">
      <c r="A47" s="17" t="n"/>
      <c r="H47" s="22" t="n"/>
    </row>
    <row r="48">
      <c r="A48" s="17" t="n"/>
      <c r="H48" s="22" t="n"/>
    </row>
    <row r="49">
      <c r="A49" s="17" t="n"/>
      <c r="H49" s="22" t="n"/>
    </row>
    <row r="50">
      <c r="A50" s="17" t="n"/>
      <c r="H50" s="22" t="n"/>
    </row>
    <row r="51">
      <c r="A51" s="17" t="n"/>
      <c r="H51" s="22" t="n"/>
    </row>
    <row r="52">
      <c r="A52" s="17" t="n"/>
      <c r="H52" s="22" t="n"/>
    </row>
    <row r="53" ht="15.6" customHeight="1">
      <c r="A53" s="17" t="n"/>
      <c r="G53" s="19" t="inlineStr">
        <is>
          <t xml:space="preserve">            Authorized Signatory</t>
        </is>
      </c>
      <c r="H53" s="22" t="n"/>
    </row>
    <row r="54" ht="15.6" customHeight="1">
      <c r="A54" s="17" t="n"/>
      <c r="G54" s="19" t="n"/>
      <c r="H54" s="22" t="n"/>
    </row>
    <row r="55" ht="15.6" customHeight="1">
      <c r="A55" s="17" t="n"/>
      <c r="G55" s="19" t="n"/>
      <c r="H55" s="22" t="n"/>
    </row>
    <row r="56" ht="15.6" customHeight="1">
      <c r="A56" s="17" t="n"/>
      <c r="G56" s="19" t="n"/>
      <c r="H56" s="22" t="n"/>
    </row>
    <row r="57" ht="15.6" customHeight="1">
      <c r="A57" s="17" t="n"/>
      <c r="G57" s="19" t="n"/>
      <c r="H57" s="22" t="n"/>
    </row>
    <row r="58">
      <c r="A58" s="17" t="n"/>
      <c r="H58" s="22" t="n"/>
    </row>
    <row r="59" ht="15.6" customHeight="1">
      <c r="A59" s="24" t="inlineStr">
        <is>
          <t>●   Early Remittance is Solicited.</t>
        </is>
      </c>
      <c r="B59" s="25" t="n"/>
      <c r="H59" s="22" t="n"/>
    </row>
    <row r="60" ht="15.75" customHeight="1">
      <c r="A60" s="104" t="inlineStr">
        <is>
          <t xml:space="preserve">  ●   GST No  27AAECJ2353C1ZX &amp; SAC Code  998513</t>
        </is>
      </c>
      <c r="H60" s="22" t="n"/>
    </row>
    <row r="61" ht="22.5" customHeight="1">
      <c r="A61" s="17" t="n"/>
      <c r="H61" s="22" t="n"/>
    </row>
    <row r="62" ht="15" customHeight="1" thickBot="1">
      <c r="A62" s="23" t="n"/>
      <c r="B62" s="26" t="n"/>
      <c r="C62" s="26" t="n"/>
      <c r="D62" s="26" t="n"/>
      <c r="E62" s="26" t="n"/>
      <c r="F62" s="26" t="n"/>
      <c r="G62" s="26" t="n"/>
      <c r="H62" s="27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5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</row>
    <row r="2">
      <c r="A2" s="106" t="inlineStr">
        <is>
          <t>Sanjay Jain</t>
        </is>
      </c>
      <c r="B2" s="106" t="inlineStr">
        <is>
          <t>JB-10241</t>
        </is>
      </c>
      <c r="C2" s="106" t="inlineStr">
        <is>
          <t>KOTIAN ABHISH ANIL</t>
        </is>
      </c>
      <c r="D2" s="106" t="n">
        <v>60000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1</v>
      </c>
      <c r="J2" s="106" t="n">
        <v>21</v>
      </c>
      <c r="K2" s="106" t="n">
        <v>30</v>
      </c>
      <c r="L2" s="106" t="n">
        <v>0</v>
      </c>
      <c r="M2" s="106" t="n">
        <v>0</v>
      </c>
      <c r="N2" s="106" t="n">
        <v>30</v>
      </c>
      <c r="O2" s="106" t="n">
        <v>64286</v>
      </c>
      <c r="P2" s="106" t="n">
        <v>5357</v>
      </c>
      <c r="Q2" s="106" t="n">
        <v>0</v>
      </c>
      <c r="R2" s="106" t="n">
        <v>0</v>
      </c>
      <c r="S2" s="106" t="n">
        <v>69643</v>
      </c>
      <c r="T2" s="106" t="n">
        <v>82179</v>
      </c>
      <c r="U2" s="106" t="n">
        <v/>
      </c>
      <c r="V2" s="106" t="n">
        <v>6268</v>
      </c>
      <c r="W2" s="106" t="n">
        <v>6268</v>
      </c>
    </row>
    <row r="3">
      <c r="A3" s="106" t="inlineStr">
        <is>
          <t>Sanjay Jain</t>
        </is>
      </c>
      <c r="B3" s="106" t="inlineStr">
        <is>
          <t>JB-10168</t>
        </is>
      </c>
      <c r="C3" s="106" t="inlineStr">
        <is>
          <t>DARSHANA KRISHNA GUDULKAR</t>
        </is>
      </c>
      <c r="D3" s="106" t="n">
        <v>50000</v>
      </c>
      <c r="E3" s="106" t="n">
        <v>28</v>
      </c>
      <c r="F3" s="106" t="n">
        <v>28</v>
      </c>
      <c r="G3" s="106" t="n">
        <v>4</v>
      </c>
      <c r="H3" s="106" t="n">
        <v>4</v>
      </c>
      <c r="I3" s="106" t="n">
        <v>1</v>
      </c>
      <c r="J3" s="106" t="n">
        <v>16</v>
      </c>
      <c r="K3" s="106" t="n">
        <v>25</v>
      </c>
      <c r="L3" s="106" t="n">
        <v>4</v>
      </c>
      <c r="M3" s="106" t="n">
        <v>1</v>
      </c>
      <c r="N3" s="106" t="n">
        <v>26</v>
      </c>
      <c r="O3" s="106" t="n">
        <v>46429</v>
      </c>
      <c r="P3" s="106" t="n">
        <v>4643</v>
      </c>
      <c r="Q3" s="106" t="n">
        <v>0</v>
      </c>
      <c r="R3" s="106" t="n">
        <v>0</v>
      </c>
      <c r="S3" s="106" t="n">
        <v>51071</v>
      </c>
      <c r="T3" s="106" t="n">
        <v>60264</v>
      </c>
      <c r="U3" s="106" t="n">
        <v/>
      </c>
      <c r="V3" s="106" t="n">
        <v>4596</v>
      </c>
      <c r="W3" s="106" t="n">
        <v>4596</v>
      </c>
    </row>
    <row r="4">
      <c r="A4" s="107" t="inlineStr">
        <is>
          <t>TOTAL</t>
        </is>
      </c>
      <c r="B4" s="107" t="n"/>
      <c r="C4" s="107" t="n"/>
      <c r="D4" s="107">
        <f>ROUND(SUM(D2:D3), 0)</f>
        <v/>
      </c>
      <c r="E4" s="107">
        <f>ROUND(SUM(E2:E3), 0)</f>
        <v/>
      </c>
      <c r="F4" s="107">
        <f>ROUND(SUM(F2:F3), 0)</f>
        <v/>
      </c>
      <c r="G4" s="107">
        <f>ROUND(SUM(G2:G3), 0)</f>
        <v/>
      </c>
      <c r="H4" s="107">
        <f>ROUND(SUM(H2:H3), 0)</f>
        <v/>
      </c>
      <c r="I4" s="107">
        <f>ROUND(SUM(I2:I3), 0)</f>
        <v/>
      </c>
      <c r="J4" s="107">
        <f>ROUND(SUM(J2:J3), 0)</f>
        <v/>
      </c>
      <c r="K4" s="107">
        <f>ROUND(SUM(K2:K3), 0)</f>
        <v/>
      </c>
      <c r="L4" s="107">
        <f>ROUND(SUM(L2:L3), 0)</f>
        <v/>
      </c>
      <c r="M4" s="107">
        <f>ROUND(SUM(M2:M3), 0)</f>
        <v/>
      </c>
      <c r="N4" s="107">
        <f>ROUND(SUM(N2:N3), 0)</f>
        <v/>
      </c>
      <c r="O4" s="107">
        <f>ROUND(SUM(O2:O3), 0)</f>
        <v/>
      </c>
      <c r="P4" s="107">
        <f>ROUND(SUM(P2:P3), 0)</f>
        <v/>
      </c>
      <c r="Q4" s="107">
        <f>ROUND(SUM(Q2:Q3), 0)</f>
        <v/>
      </c>
      <c r="R4" s="107">
        <f>ROUND(SUM(R2:R3), 0)</f>
        <v/>
      </c>
      <c r="S4" s="107">
        <f>ROUND(SUM(S2:S3), 0)</f>
        <v/>
      </c>
      <c r="T4" s="107">
        <f>ROUND(SUM(S4,V4,W4), 0)</f>
        <v/>
      </c>
      <c r="U4" s="107" t="n"/>
      <c r="V4" s="107">
        <f>CEILING(SUM(V2:V3), 1)</f>
        <v/>
      </c>
      <c r="W4" s="107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2026-02-28T12:36:48Z</dcterms:modified>
  <cp:lastModifiedBy>Kanishk Maheshwari</cp:lastModifiedBy>
  <cp:lastPrinted>2026-02-04T12:24:29Z</cp:lastPrinted>
</cp:coreProperties>
</file>