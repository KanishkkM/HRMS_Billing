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Anil Agarwal jobuss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_(* #,##0_);_(* \(#,##0\);_(* &quot;-&quot;??_);_(@_)"/>
    <numFmt numFmtId="166" formatCode="_ * #,##0_ ;_ * \-#,##0_ ;_ * &quot;-&quot;??_ ;_ @_ 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8" fillId="0" borderId="12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0" applyAlignment="1" pivotButton="0" quotePrefix="0" xfId="0">
      <alignment horizontal="left"/>
    </xf>
    <xf numFmtId="0" fontId="2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2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5" fontId="14" fillId="0" borderId="18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5" fontId="14" fillId="0" borderId="5" applyAlignment="1" pivotButton="0" quotePrefix="0" xfId="2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7" applyAlignment="1" pivotButton="0" quotePrefix="0" xfId="0">
      <alignment vertical="center"/>
    </xf>
    <xf numFmtId="0" fontId="8" fillId="0" borderId="1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5" fontId="13" fillId="0" borderId="13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0" fontId="14" fillId="0" borderId="18" applyAlignment="1" pivotButton="0" quotePrefix="0" xfId="0">
      <alignment horizontal="left"/>
    </xf>
    <xf numFmtId="166" fontId="14" fillId="0" borderId="19" applyAlignment="1" pivotButton="0" quotePrefix="0" xfId="1">
      <alignment horizontal="center" vertical="center"/>
    </xf>
    <xf numFmtId="166" fontId="14" fillId="0" borderId="13" applyAlignment="1" pivotButton="0" quotePrefix="0" xfId="1">
      <alignment horizontal="center" vertical="center"/>
    </xf>
    <xf numFmtId="166" fontId="14" fillId="0" borderId="20" applyAlignment="1" pivotButton="0" quotePrefix="0" xfId="1">
      <alignment horizontal="center"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0" fillId="0" borderId="2" pivotButton="0" quotePrefix="0" xfId="0"/>
    <xf numFmtId="0" fontId="5" fillId="2" borderId="21" applyAlignment="1" pivotButton="0" quotePrefix="0" xfId="0">
      <alignment horizontal="right"/>
    </xf>
    <xf numFmtId="0" fontId="6" fillId="0" borderId="21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165" fontId="1" fillId="0" borderId="0" pivotButton="0" quotePrefix="0" xfId="2"/>
    <xf numFmtId="0" fontId="12" fillId="0" borderId="21" applyAlignment="1" pivotButton="0" quotePrefix="0" xfId="0">
      <alignment horizontal="left" vertical="center" wrapText="1"/>
    </xf>
    <xf numFmtId="165" fontId="13" fillId="0" borderId="17" applyAlignment="1" pivotButton="0" quotePrefix="0" xfId="2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165" fontId="14" fillId="0" borderId="18" applyAlignment="1" pivotButton="0" quotePrefix="0" xfId="2">
      <alignment horizontal="center" vertical="center"/>
    </xf>
    <xf numFmtId="166" fontId="14" fillId="0" borderId="24" applyAlignment="1" pivotButton="0" quotePrefix="0" xfId="1">
      <alignment horizontal="center" vertical="center"/>
    </xf>
    <xf numFmtId="0" fontId="0" fillId="0" borderId="20" pivotButton="0" quotePrefix="0" xfId="0"/>
    <xf numFmtId="165" fontId="14" fillId="0" borderId="5" applyAlignment="1" pivotButton="0" quotePrefix="0" xfId="2">
      <alignment horizontal="center" vertical="center"/>
    </xf>
    <xf numFmtId="0" fontId="2" fillId="0" borderId="21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8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394335</colOff>
      <row>44</row>
      <rowOff>106680</rowOff>
    </from>
    <to>
      <col>5</col>
      <colOff>506730</colOff>
      <row>51</row>
      <rowOff>110490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72535" y="9384030"/>
          <a:ext cx="1364615" cy="130556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1059815</colOff>
      <row>50</row>
      <rowOff>149860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544310" y="9789160"/>
          <a:ext cx="1670685" cy="7556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6" name="Picture 5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7" name="Picture 6"/>
        <cNvPicPr>
          <a:picLocks noChangeAspect="1"/>
        </cNvPicPr>
      </nvPicPr>
      <blipFill>
        <a:blip r:embed="rId4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9" name="Picture 8"/>
        <cNvPicPr>
          <a:picLocks noChangeAspect="1"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0" name="Picture 9"/>
        <cNvPicPr>
          <a:picLocks noChangeAspect="1"/>
        </cNvPicPr>
      </nvPicPr>
      <blipFill>
        <a:blip r:embed="rId6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2" name="Picture 11"/>
        <cNvPicPr>
          <a:picLocks noChangeAspect="1"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3" name="Picture 12"/>
        <cNvPicPr>
          <a:picLocks noChangeAspect="1"/>
        </cNvPicPr>
      </nvPicPr>
      <blipFill>
        <a:blip r:embed="rId8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5" name="Picture 14"/>
        <cNvPicPr>
          <a:picLocks noChangeAspect="1"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6" name="Picture 15"/>
        <cNvPicPr>
          <a:picLocks noChangeAspect="1"/>
        </cNvPicPr>
      </nvPicPr>
      <blipFill>
        <a:blip r:embed="rId10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2">
    <outlinePr summaryBelow="1" summaryRight="1"/>
    <pageSetUpPr fitToPage="1"/>
  </sheetPr>
  <dimension ref="A2:K67"/>
  <sheetViews>
    <sheetView tabSelected="1" topLeftCell="A8" zoomScale="115" zoomScaleNormal="115" workbookViewId="0">
      <selection activeCell="A17" sqref="A17:G20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08984375" customWidth="1" min="6" max="6"/>
    <col width="23.08984375" customWidth="1" min="7" max="7"/>
    <col width="26.90625" customWidth="1" min="8" max="8"/>
    <col width="10.90625" bestFit="1" customWidth="1" min="11" max="11"/>
  </cols>
  <sheetData>
    <row r="1" ht="15" customHeight="1" thickBot="1"/>
    <row r="2" ht="89.25" customHeight="1" thickBot="1">
      <c r="A2" s="46" t="inlineStr">
        <is>
          <t>Jobuss Resources Pvt Ltd.</t>
        </is>
      </c>
      <c r="B2" s="100" t="n"/>
      <c r="C2" s="100" t="n"/>
      <c r="D2" s="100" t="n"/>
      <c r="E2" s="100" t="n"/>
      <c r="F2" s="49" t="n"/>
      <c r="G2" s="100" t="n"/>
      <c r="H2" s="25" t="n"/>
    </row>
    <row r="3" ht="17.4" customHeight="1" thickBot="1">
      <c r="A3" s="101" t="inlineStr">
        <is>
          <t>Private Limited</t>
        </is>
      </c>
      <c r="B3" s="100" t="n"/>
      <c r="C3" s="100" t="n"/>
      <c r="D3" s="100" t="n"/>
      <c r="E3" s="100" t="n"/>
      <c r="F3" s="100" t="n"/>
      <c r="G3" s="100" t="n"/>
      <c r="H3" s="25" t="n"/>
    </row>
    <row r="4" ht="15" customHeight="1" thickBot="1">
      <c r="A4" s="102" t="inlineStr">
        <is>
          <t>Add:- -1106, Sureshwari Techno IT Park, Eskay Resort, Borivali West Mumbai- 400092</t>
        </is>
      </c>
      <c r="B4" s="100" t="n"/>
      <c r="C4" s="100" t="n"/>
      <c r="D4" s="100" t="n"/>
      <c r="E4" s="100" t="n"/>
      <c r="F4" s="100" t="n"/>
      <c r="G4" s="100" t="n"/>
      <c r="H4" s="25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3" t="inlineStr">
        <is>
          <t>Original For Recepient</t>
        </is>
      </c>
      <c r="B6" s="100" t="n"/>
      <c r="C6" s="100" t="n"/>
      <c r="D6" s="100" t="n"/>
      <c r="E6" s="100" t="n"/>
      <c r="F6" s="100" t="n"/>
      <c r="G6" s="100" t="n"/>
      <c r="H6" s="25" t="n"/>
    </row>
    <row r="7" ht="15" customHeight="1" thickTop="1">
      <c r="A7" s="104" t="inlineStr">
        <is>
          <t>Reliance Industries Limited</t>
        </is>
      </c>
      <c r="B7" s="105" t="n"/>
      <c r="C7" s="105" t="n"/>
      <c r="D7" s="105" t="n"/>
      <c r="E7" s="106" t="n"/>
      <c r="F7" s="4" t="inlineStr">
        <is>
          <t xml:space="preserve">Bill No. : </t>
        </is>
      </c>
      <c r="G7" s="39" t="n"/>
      <c r="H7" s="5" t="n"/>
    </row>
    <row r="8" ht="14.4" customHeight="1">
      <c r="A8" s="107" t="inlineStr">
        <is>
          <t>5, TTC Industrial Area,</t>
        </is>
      </c>
      <c r="E8" s="19" t="n"/>
      <c r="F8" s="108" t="inlineStr">
        <is>
          <t>PAN: AAECJ2353C</t>
        </is>
      </c>
      <c r="H8" s="19" t="n"/>
      <c r="I8" t="inlineStr">
        <is>
          <t>     </t>
        </is>
      </c>
    </row>
    <row r="9" ht="14.4" customHeight="1">
      <c r="A9" s="107" t="inlineStr">
        <is>
          <t>Reliance Corporate Park,</t>
        </is>
      </c>
      <c r="E9" s="19" t="n"/>
      <c r="F9" s="108" t="inlineStr">
        <is>
          <t>GST No:  27AAECJ2353C1ZX</t>
        </is>
      </c>
      <c r="H9" s="19" t="n"/>
      <c r="I9" s="8" t="n"/>
    </row>
    <row r="10" ht="14.4" customHeight="1">
      <c r="A10" s="107" t="inlineStr">
        <is>
          <t>Thane-Belapur Road, Ghansoli, Navi Mumbai 400701</t>
        </is>
      </c>
      <c r="E10" s="19" t="n"/>
      <c r="F10" s="108" t="inlineStr">
        <is>
          <t>PF No.- KDMAL1720777000</t>
        </is>
      </c>
      <c r="H10" s="19" t="n"/>
      <c r="I10" s="8" t="n"/>
    </row>
    <row r="11" ht="14.4" customHeight="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8" t="inlineStr">
        <is>
          <t>ESIC No.- 35000427980001001</t>
        </is>
      </c>
      <c r="H11" s="19" t="n"/>
      <c r="I11" s="8" t="n"/>
    </row>
    <row r="12">
      <c r="A12" s="9" t="inlineStr">
        <is>
          <t xml:space="preserve">PAN:  </t>
        </is>
      </c>
      <c r="B12" s="13" t="inlineStr">
        <is>
          <t xml:space="preserve"> AAACR5055K</t>
        </is>
      </c>
      <c r="C12" s="11" t="n"/>
      <c r="D12" s="11" t="n"/>
      <c r="E12" s="12" t="n"/>
      <c r="F12" s="14" t="inlineStr">
        <is>
          <t xml:space="preserve">Bill Date :  </t>
        </is>
      </c>
      <c r="G12" s="109" t="inlineStr">
        <is>
          <t>28-02-2026</t>
        </is>
      </c>
      <c r="H12" s="16" t="n"/>
    </row>
    <row r="13" ht="14.4" customHeight="1">
      <c r="A13" s="9" t="inlineStr">
        <is>
          <t>Kind Attn:</t>
        </is>
      </c>
      <c r="B13" s="11" t="inlineStr">
        <is>
          <t xml:space="preserve"> Mr. Anil Agarwal</t>
        </is>
      </c>
      <c r="C13" s="11" t="n"/>
      <c r="D13" s="11" t="n"/>
      <c r="E13" s="12" t="n"/>
      <c r="F13" s="40" t="inlineStr">
        <is>
          <t>Due Date:</t>
        </is>
      </c>
      <c r="G13" s="41" t="inlineStr">
        <is>
          <t>03-03-2026</t>
        </is>
      </c>
      <c r="H13" s="42" t="n"/>
    </row>
    <row r="14" ht="14.4" customHeight="1">
      <c r="A14" s="69" t="inlineStr">
        <is>
          <t>Place of Service: Navi Mumbai</t>
        </is>
      </c>
      <c r="D14" s="61" t="n"/>
      <c r="E14" s="62" t="n"/>
      <c r="F14" s="110" t="inlineStr">
        <is>
          <t>SAC Code:  998513 (Contract Staffing Services)</t>
        </is>
      </c>
      <c r="H14" s="19" t="n"/>
    </row>
    <row r="15" ht="15" customHeight="1" thickBot="1">
      <c r="A15" s="107" t="n"/>
      <c r="E15" s="19" t="n"/>
      <c r="F15" s="18" t="inlineStr">
        <is>
          <t xml:space="preserve">Vendor Code: </t>
        </is>
      </c>
      <c r="G15" s="70" t="n">
        <v>3347687</v>
      </c>
      <c r="H15" s="19" t="n"/>
      <c r="I15" s="20" t="n"/>
      <c r="K15" s="111" t="n"/>
    </row>
    <row r="16" ht="18.65" customHeight="1" thickBot="1">
      <c r="A16" s="22" t="inlineStr">
        <is>
          <t>Work Order :540034732</t>
        </is>
      </c>
      <c r="B16" s="23" t="n"/>
      <c r="C16" s="23" t="n"/>
      <c r="D16" s="23" t="n"/>
      <c r="E16" s="24" t="n"/>
      <c r="F16" s="66" t="n"/>
      <c r="G16" s="100" t="n"/>
      <c r="H16" s="25" t="n"/>
    </row>
    <row r="17" ht="16.5" customHeight="1">
      <c r="A17" s="112" t="inlineStr">
        <is>
          <t>One Time Service Charge for Feb 2026</t>
        </is>
      </c>
      <c r="B17" s="28" t="n"/>
      <c r="C17" s="28" t="n"/>
      <c r="D17" s="28" t="n"/>
      <c r="E17" s="28" t="n"/>
      <c r="F17" s="28" t="n"/>
      <c r="G17" s="29" t="n"/>
      <c r="H17" s="113" t="n">
        <v>180000</v>
      </c>
    </row>
    <row r="18">
      <c r="A18" s="36" t="n"/>
      <c r="G18" s="19" t="n"/>
      <c r="H18" s="114" t="n"/>
    </row>
    <row r="19">
      <c r="A19" s="36" t="n"/>
      <c r="G19" s="19" t="n"/>
      <c r="H19" s="114" t="n"/>
    </row>
    <row r="20" ht="15" customHeight="1" thickBot="1">
      <c r="A20" s="32" t="n"/>
      <c r="B20" s="33" t="n"/>
      <c r="C20" s="33" t="n"/>
      <c r="D20" s="33" t="n"/>
      <c r="E20" s="33" t="n"/>
      <c r="F20" s="33" t="n"/>
      <c r="G20" s="34" t="n"/>
      <c r="H20" s="115" t="n"/>
    </row>
    <row r="21" ht="15.65" customHeight="1">
      <c r="A21" s="85" t="inlineStr">
        <is>
          <t>Add : CGST @ 9%</t>
        </is>
      </c>
      <c r="B21" s="116" t="n"/>
      <c r="C21" s="116" t="n"/>
      <c r="D21" s="116" t="n"/>
      <c r="E21" s="116" t="n"/>
      <c r="F21" s="116" t="n"/>
      <c r="G21" s="117" t="n"/>
      <c r="H21" s="118" t="n">
        <v>16200</v>
      </c>
    </row>
    <row r="22" ht="16.25" customHeight="1" thickBot="1">
      <c r="A22" s="85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16200</v>
      </c>
    </row>
    <row r="23">
      <c r="A23" s="27" t="n"/>
      <c r="B23" s="28" t="n"/>
      <c r="C23" s="28" t="n"/>
      <c r="D23" s="28" t="n"/>
      <c r="E23" s="28" t="n"/>
      <c r="F23" s="28" t="n"/>
      <c r="G23" s="29" t="n"/>
      <c r="H23" s="119" t="n">
        <v>212400</v>
      </c>
    </row>
    <row r="24" ht="15.5" customHeight="1">
      <c r="A24" s="30" t="inlineStr">
        <is>
          <t>Rupees:</t>
        </is>
      </c>
      <c r="B24" s="31" t="inlineStr">
        <is>
          <t>Two Lakh, Twelve Thousand, Four Hundred Only</t>
        </is>
      </c>
      <c r="G24" s="19" t="n"/>
      <c r="H24" s="114" t="n"/>
    </row>
    <row r="25" ht="15" customHeight="1" thickBot="1">
      <c r="A25" s="32" t="n"/>
      <c r="B25" s="33" t="n"/>
      <c r="C25" s="33" t="n"/>
      <c r="D25" s="33" t="n"/>
      <c r="E25" s="33" t="n"/>
      <c r="F25" s="33" t="n"/>
      <c r="G25" s="34" t="n"/>
      <c r="H25" s="120" t="n"/>
    </row>
    <row r="26" ht="15.65" customHeight="1">
      <c r="A26" s="30" t="n"/>
      <c r="B26" s="31" t="n"/>
      <c r="H26" s="121" t="n"/>
    </row>
    <row r="27" ht="14.4" customHeight="1">
      <c r="A27" s="36" t="n"/>
      <c r="H27" s="19" t="n"/>
    </row>
    <row r="28" ht="14.4" customHeight="1">
      <c r="A28" s="36" t="n"/>
      <c r="H28" s="19" t="n"/>
    </row>
    <row r="29" ht="14.4" customHeight="1">
      <c r="A29" s="36" t="n"/>
      <c r="H29" s="19" t="n"/>
    </row>
    <row r="30" ht="14.4" customHeight="1">
      <c r="A30" s="36" t="n"/>
      <c r="H30" s="19" t="n"/>
    </row>
    <row r="31" ht="14.4" customHeight="1">
      <c r="A31" s="36" t="n"/>
      <c r="H31" s="19" t="n"/>
    </row>
    <row r="32" ht="15" customHeight="1" thickBot="1">
      <c r="A32" s="36" t="n"/>
      <c r="H32" s="19" t="n"/>
    </row>
    <row r="33" ht="15" customHeight="1" thickBot="1">
      <c r="A33" s="122" t="inlineStr">
        <is>
          <t>Bank Details:</t>
        </is>
      </c>
      <c r="B33" s="100" t="n"/>
      <c r="C33" s="25" t="n"/>
      <c r="H33" s="19" t="n"/>
    </row>
    <row r="34" ht="14.4" customHeight="1">
      <c r="A34" s="36" t="inlineStr">
        <is>
          <t>Name:</t>
        </is>
      </c>
      <c r="B34" s="95" t="inlineStr">
        <is>
          <t>Jobuss Resources Pvt. Ltd.</t>
        </is>
      </c>
      <c r="C34" s="19" t="n"/>
      <c r="H34" s="19" t="n"/>
    </row>
    <row r="35" ht="14.4" customHeight="1">
      <c r="A35" s="36" t="inlineStr">
        <is>
          <t>Bank Name:</t>
        </is>
      </c>
      <c r="B35" s="95" t="inlineStr">
        <is>
          <t>ICICI Bank</t>
        </is>
      </c>
      <c r="C35" s="19" t="n"/>
      <c r="H35" s="19" t="n"/>
    </row>
    <row r="36" ht="14.4" customHeight="1">
      <c r="A36" s="36" t="inlineStr">
        <is>
          <t>A/c No.:</t>
        </is>
      </c>
      <c r="B36" s="123" t="inlineStr">
        <is>
          <t>120905000960</t>
        </is>
      </c>
      <c r="C36" s="19" t="n"/>
      <c r="H36" s="19" t="n"/>
    </row>
    <row r="37" ht="14.4" customHeight="1">
      <c r="A37" s="36" t="inlineStr">
        <is>
          <t>IFSC Code:</t>
        </is>
      </c>
      <c r="B37" s="95" t="inlineStr">
        <is>
          <t>ICIC0001209</t>
        </is>
      </c>
      <c r="C37" s="19" t="n"/>
      <c r="H37" s="19" t="n"/>
    </row>
    <row r="38" ht="15" customHeight="1" thickBot="1">
      <c r="A38" s="32" t="inlineStr">
        <is>
          <t>MICR No:</t>
        </is>
      </c>
      <c r="B38" s="124" t="inlineStr">
        <is>
          <t>400229195</t>
        </is>
      </c>
      <c r="C38" s="34" t="n"/>
      <c r="H38" s="19" t="n"/>
    </row>
    <row r="39" ht="14.4" customHeight="1">
      <c r="A39" s="36" t="n"/>
      <c r="H39" s="19" t="n"/>
    </row>
    <row r="40" ht="14.4" customHeight="1">
      <c r="A40" s="36" t="n"/>
      <c r="H40" s="19" t="n"/>
    </row>
    <row r="41" ht="14.4" customHeight="1">
      <c r="A41" s="36" t="n"/>
      <c r="H41" s="19" t="n"/>
    </row>
    <row r="42" ht="14.4" customHeight="1">
      <c r="A42" s="36" t="n"/>
      <c r="H42" s="19" t="n"/>
    </row>
    <row r="43" ht="14.4" customHeight="1">
      <c r="A43" s="36" t="n"/>
      <c r="H43" s="19" t="n"/>
    </row>
    <row r="44" ht="14.4" customHeight="1">
      <c r="A44" s="36" t="n"/>
      <c r="H44" s="19" t="n"/>
    </row>
    <row r="45" ht="15.65" customHeight="1">
      <c r="A45" s="36" t="n"/>
      <c r="G45" s="90" t="inlineStr">
        <is>
          <t xml:space="preserve">    For Jobuss Resources Pvt. Ltd.</t>
        </is>
      </c>
      <c r="H45" s="19" t="n"/>
    </row>
    <row r="46" ht="14.4" customHeight="1">
      <c r="A46" s="36" t="n"/>
      <c r="H46" s="19" t="n"/>
    </row>
    <row r="47" ht="14.4" customHeight="1">
      <c r="A47" s="36" t="n"/>
      <c r="H47" s="19" t="n"/>
    </row>
    <row r="48" ht="14.4" customHeight="1">
      <c r="A48" s="36" t="n"/>
      <c r="H48" s="19" t="n"/>
    </row>
    <row r="49" ht="14.4" customHeight="1">
      <c r="A49" s="36" t="n"/>
      <c r="H49" s="19" t="n"/>
    </row>
    <row r="50" ht="14.4" customHeight="1">
      <c r="A50" s="36" t="n"/>
      <c r="H50" s="19" t="n"/>
    </row>
    <row r="51" ht="14.4" customHeight="1">
      <c r="A51" s="36" t="n"/>
      <c r="H51" s="19" t="n"/>
    </row>
    <row r="52" ht="14.4" customHeight="1">
      <c r="A52" s="36" t="n"/>
      <c r="H52" s="19" t="n"/>
    </row>
    <row r="53" ht="15.65" customHeight="1">
      <c r="A53" s="36" t="n"/>
      <c r="G53" s="90" t="inlineStr">
        <is>
          <t xml:space="preserve">            Authorized Signatory</t>
        </is>
      </c>
      <c r="H53" s="19" t="n"/>
    </row>
    <row r="54" ht="15.65" customHeight="1">
      <c r="A54" s="36" t="n"/>
      <c r="G54" s="31" t="n"/>
      <c r="H54" s="19" t="n"/>
    </row>
    <row r="55" ht="15.65" customHeight="1">
      <c r="A55" s="36" t="n"/>
      <c r="G55" s="31" t="n"/>
      <c r="H55" s="19" t="n"/>
    </row>
    <row r="56" ht="15.65" customHeight="1">
      <c r="A56" s="36" t="n"/>
      <c r="G56" s="31" t="n"/>
      <c r="H56" s="19" t="n"/>
    </row>
    <row r="57" ht="15.65" customHeight="1">
      <c r="A57" s="36" t="n"/>
      <c r="G57" s="31" t="n"/>
      <c r="H57" s="19" t="n"/>
    </row>
    <row r="58" ht="15.65" customHeight="1">
      <c r="A58" s="36" t="n"/>
      <c r="G58" s="31" t="n"/>
      <c r="H58" s="19" t="n"/>
    </row>
    <row r="59" ht="15.65" customHeight="1">
      <c r="A59" s="36" t="n"/>
      <c r="G59" s="31" t="n"/>
      <c r="H59" s="19" t="n"/>
    </row>
    <row r="60" ht="15.65" customHeight="1">
      <c r="A60" s="36" t="n"/>
      <c r="G60" s="31" t="n"/>
      <c r="H60" s="19" t="n"/>
    </row>
    <row r="61" ht="15.65" customHeight="1">
      <c r="A61" s="36" t="n"/>
      <c r="G61" s="31" t="n"/>
      <c r="H61" s="19" t="n"/>
    </row>
    <row r="62" ht="15.65" customHeight="1">
      <c r="A62" s="36" t="n"/>
      <c r="G62" s="31" t="n"/>
      <c r="H62" s="19" t="n"/>
    </row>
    <row r="63" ht="14.4" customHeight="1">
      <c r="A63" s="36" t="n"/>
      <c r="H63" s="19" t="n"/>
    </row>
    <row r="64" ht="15.5" customHeight="1">
      <c r="A64" s="37" t="inlineStr">
        <is>
          <t>●   Early Remittance is Solicited.</t>
        </is>
      </c>
      <c r="B64" s="38" t="n"/>
      <c r="H64" s="19" t="n"/>
    </row>
    <row r="65" ht="15.75" customHeight="1">
      <c r="A65" s="125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5" s="19" t="n"/>
    </row>
    <row r="66" ht="22.5" customHeight="1">
      <c r="A66" s="36" t="n"/>
      <c r="H66" s="19" t="n"/>
    </row>
    <row r="67" ht="15" customHeight="1" thickBot="1">
      <c r="A67" s="32" t="n"/>
      <c r="B67" s="33" t="n"/>
      <c r="C67" s="33" t="n"/>
      <c r="D67" s="33" t="n"/>
      <c r="E67" s="33" t="n"/>
      <c r="F67" s="33" t="n"/>
      <c r="G67" s="33" t="n"/>
      <c r="H67" s="34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21:G21"/>
    <mergeCell ref="A10:E10"/>
    <mergeCell ref="B36:C36"/>
    <mergeCell ref="B35:C35"/>
    <mergeCell ref="A9:E9"/>
    <mergeCell ref="A65:H66"/>
  </mergeCells>
  <pageMargins left="0.7086614173228347" right="0.7086614173228347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126" t="inlineStr">
        <is>
          <t>Kind Attention Person</t>
        </is>
      </c>
      <c r="B1" s="126" t="inlineStr">
        <is>
          <t>Working At</t>
        </is>
      </c>
      <c r="C1" s="126" t="inlineStr">
        <is>
          <t>Employee Code</t>
        </is>
      </c>
      <c r="D1" s="126" t="inlineStr">
        <is>
          <t>Employee Name</t>
        </is>
      </c>
      <c r="E1" s="126" t="inlineStr">
        <is>
          <t>Reporting Person</t>
        </is>
      </c>
      <c r="F1" s="126" t="inlineStr">
        <is>
          <t>Date of Joining</t>
        </is>
      </c>
      <c r="G1" s="126" t="inlineStr">
        <is>
          <t>Biiling</t>
        </is>
      </c>
      <c r="H1" s="126" t="inlineStr">
        <is>
          <t>Charges</t>
        </is>
      </c>
      <c r="I1" s="126" t="inlineStr">
        <is>
          <t>Total</t>
        </is>
      </c>
      <c r="J1" s="126" t="inlineStr">
        <is>
          <t>CGST @9%</t>
        </is>
      </c>
      <c r="K1" s="126" t="inlineStr">
        <is>
          <t>SGST @9%</t>
        </is>
      </c>
      <c r="L1" s="126" t="inlineStr">
        <is>
          <t>IGST @18%</t>
        </is>
      </c>
      <c r="M1" s="126" t="inlineStr">
        <is>
          <t>Grand Total</t>
        </is>
      </c>
      <c r="N1" s="126" t="inlineStr">
        <is>
          <t>Remark</t>
        </is>
      </c>
    </row>
    <row r="2">
      <c r="A2" s="127" t="inlineStr">
        <is>
          <t>Anil Agarwal</t>
        </is>
      </c>
      <c r="B2" s="127" t="inlineStr">
        <is>
          <t>Reliance Industries Ltd</t>
        </is>
      </c>
      <c r="C2" s="127" t="inlineStr">
        <is>
          <t>JB-10271</t>
        </is>
      </c>
      <c r="D2" s="127" t="inlineStr">
        <is>
          <t>ADITYA VIJAY GURAV</t>
        </is>
      </c>
      <c r="E2" s="127" t="inlineStr">
        <is>
          <t>Jaykumar Golini</t>
        </is>
      </c>
      <c r="F2" s="127" t="inlineStr">
        <is>
          <t>02-02-2026</t>
        </is>
      </c>
      <c r="G2" s="127" t="n">
        <v>69300</v>
      </c>
      <c r="H2" s="127" t="n">
        <v>30000</v>
      </c>
      <c r="I2" s="127" t="n">
        <v>30000</v>
      </c>
      <c r="J2" s="127" t="n">
        <v>2700</v>
      </c>
      <c r="K2" s="127" t="n">
        <v>2700</v>
      </c>
      <c r="L2" s="127" t="n">
        <v>0</v>
      </c>
      <c r="M2" s="127" t="n">
        <v>35400</v>
      </c>
      <c r="N2" s="127" t="inlineStr">
        <is>
          <t>New Joiner</t>
        </is>
      </c>
    </row>
    <row r="3">
      <c r="A3" s="127" t="inlineStr">
        <is>
          <t>Anil Agarwal</t>
        </is>
      </c>
      <c r="B3" s="127" t="inlineStr">
        <is>
          <t>Reliance Industries Ltd</t>
        </is>
      </c>
      <c r="C3" s="127" t="inlineStr">
        <is>
          <t>JB-10200</t>
        </is>
      </c>
      <c r="D3" s="127" t="inlineStr">
        <is>
          <t>CHINMAYA KIRAN BANSOLE</t>
        </is>
      </c>
      <c r="E3" s="127" t="inlineStr">
        <is>
          <t>Sachin Mutha/ Manmit Verma</t>
        </is>
      </c>
      <c r="F3" s="127" t="inlineStr">
        <is>
          <t>21-01-2026</t>
        </is>
      </c>
      <c r="G3" s="127" t="n">
        <v>55000</v>
      </c>
      <c r="H3" s="127" t="n">
        <v>30000</v>
      </c>
      <c r="I3" s="127" t="n">
        <v>30000</v>
      </c>
      <c r="J3" s="127" t="n">
        <v>2700</v>
      </c>
      <c r="K3" s="127" t="n">
        <v>2700</v>
      </c>
      <c r="L3" s="127" t="n">
        <v>0</v>
      </c>
      <c r="M3" s="127" t="n">
        <v>35400</v>
      </c>
      <c r="N3" s="127" t="inlineStr">
        <is>
          <t>New Joiner</t>
        </is>
      </c>
    </row>
    <row r="4">
      <c r="A4" s="127" t="inlineStr">
        <is>
          <t>Anil Agarwal</t>
        </is>
      </c>
      <c r="B4" s="127" t="inlineStr">
        <is>
          <t>Reliance Industries Ltd</t>
        </is>
      </c>
      <c r="C4" s="127" t="inlineStr">
        <is>
          <t>JB-10273</t>
        </is>
      </c>
      <c r="D4" s="127" t="inlineStr">
        <is>
          <t>KRUTIKA PRADEEP PATIL</t>
        </is>
      </c>
      <c r="E4" s="127" t="inlineStr">
        <is>
          <t>Pavan Kabra</t>
        </is>
      </c>
      <c r="F4" s="127" t="inlineStr">
        <is>
          <t>02-02-2026</t>
        </is>
      </c>
      <c r="G4" s="127" t="n">
        <v>20087</v>
      </c>
      <c r="H4" s="127" t="n">
        <v>15000</v>
      </c>
      <c r="I4" s="127" t="n">
        <v>15000</v>
      </c>
      <c r="J4" s="127" t="n">
        <v>1350</v>
      </c>
      <c r="K4" s="127" t="n">
        <v>1350</v>
      </c>
      <c r="L4" s="127" t="n">
        <v>0</v>
      </c>
      <c r="M4" s="127" t="n">
        <v>17700</v>
      </c>
      <c r="N4" s="127" t="inlineStr">
        <is>
          <t>New Joiner</t>
        </is>
      </c>
    </row>
    <row r="5">
      <c r="A5" s="127" t="inlineStr">
        <is>
          <t>Anil Agarwal</t>
        </is>
      </c>
      <c r="B5" s="127" t="inlineStr">
        <is>
          <t>Reliance Industries Ltd</t>
        </is>
      </c>
      <c r="C5" s="127" t="inlineStr">
        <is>
          <t>JB-10268</t>
        </is>
      </c>
      <c r="D5" s="127" t="inlineStr">
        <is>
          <t>MIHIR DILIP SHAH</t>
        </is>
      </c>
      <c r="E5" s="127" t="inlineStr">
        <is>
          <t>Karishma Modi</t>
        </is>
      </c>
      <c r="F5" s="127" t="inlineStr">
        <is>
          <t>27-01-2026</t>
        </is>
      </c>
      <c r="G5" s="127" t="n">
        <v>75000</v>
      </c>
      <c r="H5" s="127" t="n">
        <v>30000</v>
      </c>
      <c r="I5" s="127" t="n">
        <v>30000</v>
      </c>
      <c r="J5" s="127" t="n">
        <v>2700</v>
      </c>
      <c r="K5" s="127" t="n">
        <v>2700</v>
      </c>
      <c r="L5" s="127" t="n">
        <v>0</v>
      </c>
      <c r="M5" s="127" t="n">
        <v>35400</v>
      </c>
      <c r="N5" s="127" t="inlineStr">
        <is>
          <t>New Joiner</t>
        </is>
      </c>
    </row>
    <row r="6">
      <c r="A6" s="127" t="inlineStr">
        <is>
          <t>Anil Agarwal</t>
        </is>
      </c>
      <c r="B6" s="127" t="inlineStr">
        <is>
          <t>Reliance Industries Ltd</t>
        </is>
      </c>
      <c r="C6" s="127" t="inlineStr">
        <is>
          <t>JB-10280</t>
        </is>
      </c>
      <c r="D6" s="127" t="inlineStr">
        <is>
          <t>NIKITA LILADHAR BHAVSAR</t>
        </is>
      </c>
      <c r="E6" s="127" t="inlineStr">
        <is>
          <t>Pavan Kabra</t>
        </is>
      </c>
      <c r="F6" s="127" t="inlineStr">
        <is>
          <t>10-02-2026</t>
        </is>
      </c>
      <c r="G6" s="127" t="n">
        <v>35292</v>
      </c>
      <c r="H6" s="127" t="n">
        <v>15000</v>
      </c>
      <c r="I6" s="127" t="n">
        <v>15000</v>
      </c>
      <c r="J6" s="127" t="n">
        <v>1350</v>
      </c>
      <c r="K6" s="127" t="n">
        <v>1350</v>
      </c>
      <c r="L6" s="127" t="n">
        <v>0</v>
      </c>
      <c r="M6" s="127" t="n">
        <v>17700</v>
      </c>
      <c r="N6" s="127" t="inlineStr">
        <is>
          <t>New Joiner</t>
        </is>
      </c>
    </row>
    <row r="7">
      <c r="A7" s="127" t="inlineStr">
        <is>
          <t>Anil Agarwal</t>
        </is>
      </c>
      <c r="B7" s="127" t="inlineStr">
        <is>
          <t>Reliance Industries Ltd</t>
        </is>
      </c>
      <c r="C7" s="127" t="inlineStr">
        <is>
          <t>JB-10272</t>
        </is>
      </c>
      <c r="D7" s="127" t="inlineStr">
        <is>
          <t>PRADNYA SANTOSH PHALKE</t>
        </is>
      </c>
      <c r="E7" s="127" t="inlineStr">
        <is>
          <t>R K khandewal</t>
        </is>
      </c>
      <c r="F7" s="127" t="inlineStr">
        <is>
          <t>29-01-2026</t>
        </is>
      </c>
      <c r="G7" s="127" t="n">
        <v>34500</v>
      </c>
      <c r="H7" s="127" t="n">
        <v>15000</v>
      </c>
      <c r="I7" s="127" t="n">
        <v>15000</v>
      </c>
      <c r="J7" s="127" t="n">
        <v>1350</v>
      </c>
      <c r="K7" s="127" t="n">
        <v>1350</v>
      </c>
      <c r="L7" s="127" t="n">
        <v>0</v>
      </c>
      <c r="M7" s="127" t="n">
        <v>17700</v>
      </c>
      <c r="N7" s="127" t="inlineStr">
        <is>
          <t>New Joiner</t>
        </is>
      </c>
    </row>
    <row r="8">
      <c r="A8" s="127" t="inlineStr">
        <is>
          <t>Anil Agarwal</t>
        </is>
      </c>
      <c r="B8" s="127" t="inlineStr">
        <is>
          <t>Reliance Industries Ltd</t>
        </is>
      </c>
      <c r="C8" s="127" t="inlineStr">
        <is>
          <t>JB-10282</t>
        </is>
      </c>
      <c r="D8" s="127" t="inlineStr">
        <is>
          <t>SHRADDHA RAJARAM CHAVAN</t>
        </is>
      </c>
      <c r="E8" s="127" t="inlineStr">
        <is>
          <t>Prakash Hale</t>
        </is>
      </c>
      <c r="F8" s="127" t="inlineStr">
        <is>
          <t>02-02-2026</t>
        </is>
      </c>
      <c r="G8" s="127" t="n">
        <v>44117</v>
      </c>
      <c r="H8" s="127" t="n">
        <v>15000</v>
      </c>
      <c r="I8" s="127" t="n">
        <v>15000</v>
      </c>
      <c r="J8" s="127" t="n">
        <v>1350</v>
      </c>
      <c r="K8" s="127" t="n">
        <v>1350</v>
      </c>
      <c r="L8" s="127" t="n">
        <v>0</v>
      </c>
      <c r="M8" s="127" t="n">
        <v>17700</v>
      </c>
      <c r="N8" s="127" t="inlineStr">
        <is>
          <t>New Joiner</t>
        </is>
      </c>
    </row>
    <row r="9">
      <c r="A9" s="127" t="inlineStr">
        <is>
          <t>Anil Agarwal</t>
        </is>
      </c>
      <c r="B9" s="127" t="inlineStr">
        <is>
          <t>Reliance Industries Ltd</t>
        </is>
      </c>
      <c r="C9" s="127" t="inlineStr">
        <is>
          <t>JB-10279</t>
        </is>
      </c>
      <c r="D9" s="127" t="inlineStr">
        <is>
          <t>VARAD VILAS PRABHUDESAI</t>
        </is>
      </c>
      <c r="E9" s="127" t="inlineStr">
        <is>
          <t>Manish Bhutoria</t>
        </is>
      </c>
      <c r="F9" s="127" t="inlineStr">
        <is>
          <t>23-01-2026</t>
        </is>
      </c>
      <c r="G9" s="127" t="n">
        <v>87500</v>
      </c>
      <c r="H9" s="127" t="n">
        <v>30000</v>
      </c>
      <c r="I9" s="127" t="n">
        <v>30000</v>
      </c>
      <c r="J9" s="127" t="n">
        <v>2700</v>
      </c>
      <c r="K9" s="127" t="n">
        <v>2700</v>
      </c>
      <c r="L9" s="127" t="n">
        <v>0</v>
      </c>
      <c r="M9" s="127" t="n">
        <v>35400</v>
      </c>
      <c r="N9" s="127" t="inlineStr">
        <is>
          <t>New Joiner</t>
        </is>
      </c>
    </row>
    <row r="10">
      <c r="A10" s="128" t="inlineStr">
        <is>
          <t>TOTAL</t>
        </is>
      </c>
      <c r="B10" s="128" t="n"/>
      <c r="C10" s="128" t="n"/>
      <c r="D10" s="128" t="n"/>
      <c r="E10" s="128" t="n"/>
      <c r="F10" s="128" t="n"/>
      <c r="G10" s="128" t="n"/>
      <c r="H10" s="128">
        <f>ROUND(SUM(H2:H9), 0)</f>
        <v/>
      </c>
      <c r="I10" s="128">
        <f>ROUND(SUM(I2:I9), 0)</f>
        <v/>
      </c>
      <c r="J10" s="128">
        <f>CEILING(SUM(J2:J9), 1)</f>
        <v/>
      </c>
      <c r="K10" s="128">
        <f>CEILING(SUM(K2:K9), 1)</f>
        <v/>
      </c>
      <c r="L10" s="128">
        <f>ROUND(SUM(L2:L9), 0)</f>
        <v/>
      </c>
      <c r="M10" s="128">
        <f>ROUND(SUM(I10,J10,K10,L10), 0)</f>
        <v/>
      </c>
      <c r="N10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2025-10-03T11:36:06Z</dcterms:created>
  <dcterms:modified xsi:type="dcterms:W3CDTF">2026-02-28T09:09:33Z</dcterms:modified>
  <cp:lastModifiedBy>Kanishk Maheshwari</cp:lastModifiedBy>
  <cp:lastPrinted>2025-12-24T08:55:28Z</cp:lastPrinted>
</cp:coreProperties>
</file>