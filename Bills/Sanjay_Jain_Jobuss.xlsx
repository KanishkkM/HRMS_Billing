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17" zoomScale="75" zoomScaleNormal="55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 Sanjay Jain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120714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10864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10864</v>
      </c>
    </row>
    <row r="23" ht="15" customHeight="1">
      <c r="A23" s="17" t="n"/>
      <c r="H23" s="98" t="n">
        <v>142443</v>
      </c>
    </row>
    <row r="24" ht="16.5" customHeight="1">
      <c r="A24" s="18" t="inlineStr">
        <is>
          <t>Rupees:</t>
        </is>
      </c>
      <c r="B24" s="19" t="inlineStr">
        <is>
          <t>One Lakh, Forty-Two Thousand, Four Hundred And Forty-Three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Sanjay Jain</t>
        </is>
      </c>
      <c r="B2" s="106" t="inlineStr">
        <is>
          <t>Reliance Industries Ltd</t>
        </is>
      </c>
      <c r="C2" s="106" t="inlineStr">
        <is>
          <t>JB-10241</t>
        </is>
      </c>
      <c r="D2" s="106" t="inlineStr">
        <is>
          <t>KOTIAN ABHISH ANIL</t>
        </is>
      </c>
      <c r="E2" s="106" t="n">
        <v>60000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1</v>
      </c>
      <c r="K2" s="106" t="n">
        <v>21</v>
      </c>
      <c r="L2" s="106" t="n">
        <v>30</v>
      </c>
      <c r="M2" s="106" t="n">
        <v>0</v>
      </c>
      <c r="N2" s="106" t="n">
        <v>0</v>
      </c>
      <c r="O2" s="106" t="n">
        <v>30</v>
      </c>
      <c r="P2" s="106" t="n">
        <v>64285.71</v>
      </c>
      <c r="Q2" s="106" t="n">
        <v>5357.14</v>
      </c>
      <c r="R2" s="106" t="n">
        <v>0</v>
      </c>
      <c r="S2" s="106" t="n">
        <v>0</v>
      </c>
      <c r="T2" s="106" t="n">
        <v>69642.86</v>
      </c>
      <c r="U2" s="106" t="n">
        <v>6267.86</v>
      </c>
      <c r="V2" s="106" t="n">
        <v>6267.86</v>
      </c>
      <c r="W2" s="106" t="n">
        <v>0</v>
      </c>
      <c r="X2" s="106" t="n">
        <v>82178.57000000001</v>
      </c>
      <c r="Y2" s="106" t="n">
        <v/>
      </c>
    </row>
    <row r="3">
      <c r="A3" s="106" t="inlineStr">
        <is>
          <t>Sanjay Jain</t>
        </is>
      </c>
      <c r="B3" s="106" t="inlineStr">
        <is>
          <t>Reliance Industries Ltd</t>
        </is>
      </c>
      <c r="C3" s="106" t="inlineStr">
        <is>
          <t>JB-10168</t>
        </is>
      </c>
      <c r="D3" s="106" t="inlineStr">
        <is>
          <t>DARSHANA KRISHNA GUDULKAR</t>
        </is>
      </c>
      <c r="E3" s="106" t="n">
        <v>50000</v>
      </c>
      <c r="F3" s="106" t="n">
        <v>28</v>
      </c>
      <c r="G3" s="106" t="n">
        <v>28</v>
      </c>
      <c r="H3" s="106" t="n">
        <v>4</v>
      </c>
      <c r="I3" s="106" t="n">
        <v>4</v>
      </c>
      <c r="J3" s="106" t="n">
        <v>1</v>
      </c>
      <c r="K3" s="106" t="n">
        <v>16</v>
      </c>
      <c r="L3" s="106" t="n">
        <v>25</v>
      </c>
      <c r="M3" s="106" t="n">
        <v>4</v>
      </c>
      <c r="N3" s="106" t="n">
        <v>1</v>
      </c>
      <c r="O3" s="106" t="n">
        <v>26</v>
      </c>
      <c r="P3" s="106" t="n">
        <v>46428.57</v>
      </c>
      <c r="Q3" s="106" t="n">
        <v>4642.86</v>
      </c>
      <c r="R3" s="106" t="n">
        <v>0</v>
      </c>
      <c r="S3" s="106" t="n">
        <v>0</v>
      </c>
      <c r="T3" s="106" t="n">
        <v>51071.43</v>
      </c>
      <c r="U3" s="106" t="n">
        <v>4596.43</v>
      </c>
      <c r="V3" s="106" t="n">
        <v>4596.43</v>
      </c>
      <c r="W3" s="106" t="n">
        <v>0</v>
      </c>
      <c r="X3" s="106" t="n">
        <v>60264.29</v>
      </c>
      <c r="Y3" s="106" t="n">
        <v/>
      </c>
    </row>
    <row r="4">
      <c r="A4" s="107" t="inlineStr">
        <is>
          <t>TOTAL</t>
        </is>
      </c>
      <c r="B4" s="107" t="n"/>
      <c r="C4" s="107" t="n"/>
      <c r="D4" s="107" t="n"/>
      <c r="E4" s="107">
        <f>ROUND(SUM(E2:E3), 0)</f>
        <v/>
      </c>
      <c r="F4" s="107">
        <f>ROUND(SUM(F2:F3), 0)</f>
        <v/>
      </c>
      <c r="G4" s="107">
        <f>ROUND(SUM(G2:G3), 0)</f>
        <v/>
      </c>
      <c r="H4" s="107">
        <f>ROUND(SUM(H2:H3), 0)</f>
        <v/>
      </c>
      <c r="I4" s="107">
        <f>ROUND(SUM(I2:I3), 0)</f>
        <v/>
      </c>
      <c r="J4" s="107">
        <f>ROUND(SUM(J2:J3), 0)</f>
        <v/>
      </c>
      <c r="K4" s="107">
        <f>ROUND(SUM(K2:K3), 0)</f>
        <v/>
      </c>
      <c r="L4" s="107">
        <f>ROUND(SUM(L2:L3), 0)</f>
        <v/>
      </c>
      <c r="M4" s="107">
        <f>ROUND(SUM(M2:M3), 0)</f>
        <v/>
      </c>
      <c r="N4" s="107">
        <f>ROUND(SUM(N2:N3), 0)</f>
        <v/>
      </c>
      <c r="O4" s="107">
        <f>ROUND(SUM(O2:O3), 0)</f>
        <v/>
      </c>
      <c r="P4" s="107">
        <f>ROUND(SUM(P2:P3), 0)</f>
        <v/>
      </c>
      <c r="Q4" s="107">
        <f>ROUND(SUM(Q2:Q3), 0)</f>
        <v/>
      </c>
      <c r="R4" s="107">
        <f>ROUND(SUM(R2:R3), 0)</f>
        <v/>
      </c>
      <c r="S4" s="107">
        <f>ROUND(SUM(S2:S3), 0)</f>
        <v/>
      </c>
      <c r="T4" s="107">
        <f>ROUND(SUM(T2:T3), 0)</f>
        <v/>
      </c>
      <c r="U4" s="107">
        <f>CEILING(SUM(U2:U3), 1)</f>
        <v/>
      </c>
      <c r="V4" s="107">
        <f>CEILING(SUM(V2:V3), 1)</f>
        <v/>
      </c>
      <c r="W4" s="107">
        <f>ROUND(SUM(W2:W3), 0)</f>
        <v/>
      </c>
      <c r="X4" s="107">
        <f>ROUND(SUM(T4,U4,V4,W4), 0)</f>
        <v/>
      </c>
      <c r="Y4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2026-02-28T09:08:10Z</dcterms:modified>
  <cp:lastModifiedBy>Kanishk Maheshwari</cp:lastModifiedBy>
  <cp:lastPrinted>2026-02-04T12:24:29Z</cp:lastPrinted>
</cp:coreProperties>
</file>