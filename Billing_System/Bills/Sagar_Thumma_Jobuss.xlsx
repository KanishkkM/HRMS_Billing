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itan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12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11" fillId="0" borderId="0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8" fillId="0" borderId="9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571500</colOff>
      <row>43</row>
      <rowOff>95250</rowOff>
    </from>
    <to>
      <col>5</col>
      <colOff>205105</colOff>
      <row>50</row>
      <rowOff>114300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133725" y="9458325"/>
          <a:ext cx="1310005" cy="1362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857249</colOff>
      <row>46</row>
      <rowOff>38100</rowOff>
    </from>
    <to>
      <col>7</col>
      <colOff>530224</colOff>
      <row>50</row>
      <rowOff>69850</rowOff>
    </to>
    <pic>
      <nvPicPr>
        <cNvPr id="4" name="Picture 3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5972174" y="9982200"/>
          <a:ext cx="1263650" cy="793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3" workbookViewId="0">
      <selection activeCell="F12" sqref="F12"/>
    </sheetView>
  </sheetViews>
  <sheetFormatPr baseColWidth="8" defaultColWidth="9.109375" defaultRowHeight="14.4"/>
  <cols>
    <col width="9.5546875" customWidth="1" min="1" max="1"/>
    <col width="10" customWidth="1" min="2" max="2"/>
    <col width="18.88671875" customWidth="1" min="3" max="3"/>
    <col width="15" customWidth="1" min="4" max="4"/>
    <col width="10.109375" customWidth="1" min="5" max="5"/>
    <col width="13.109375" customWidth="1" min="6" max="6"/>
    <col width="23.88671875" customWidth="1" min="7" max="7"/>
    <col width="19.88671875" customWidth="1" min="8" max="8"/>
  </cols>
  <sheetData>
    <row r="1" ht="15" customHeight="1" thickBot="1"/>
    <row r="2" ht="89.25" customHeight="1" thickBot="1">
      <c r="A2" s="68" t="inlineStr">
        <is>
          <t>Jobuss Resources Pvt Ltd.</t>
        </is>
      </c>
      <c r="B2" s="13" t="n"/>
      <c r="C2" s="13" t="n"/>
      <c r="D2" s="13" t="n"/>
      <c r="E2" s="13" t="n"/>
      <c r="F2" s="71" t="n"/>
      <c r="G2" s="13" t="n"/>
      <c r="H2" s="14" t="n"/>
    </row>
    <row r="3" ht="17.4" customHeight="1" thickBot="1">
      <c r="A3" s="88" t="inlineStr">
        <is>
          <t>Private Limited</t>
        </is>
      </c>
      <c r="B3" s="13" t="n"/>
      <c r="C3" s="13" t="n"/>
      <c r="D3" s="13" t="n"/>
      <c r="E3" s="13" t="n"/>
      <c r="F3" s="13" t="n"/>
      <c r="G3" s="13" t="n"/>
      <c r="H3" s="14" t="n"/>
    </row>
    <row r="4" ht="15" customHeight="1" thickBot="1">
      <c r="A4" s="89" t="inlineStr">
        <is>
          <t>Add:-1106, Sureshwari Techno IT Park, Eskay Resort, Borivali West Mumbai- 400092</t>
        </is>
      </c>
      <c r="B4" s="13" t="n"/>
      <c r="C4" s="13" t="n"/>
      <c r="D4" s="13" t="n"/>
      <c r="E4" s="13" t="n"/>
      <c r="F4" s="13" t="n"/>
      <c r="G4" s="13" t="n"/>
      <c r="H4" s="14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0" t="inlineStr">
        <is>
          <t>Tax Invoice-Original For Recepient</t>
        </is>
      </c>
      <c r="B6" s="13" t="n"/>
      <c r="C6" s="13" t="n"/>
      <c r="D6" s="13" t="n"/>
      <c r="E6" s="13" t="n"/>
      <c r="F6" s="13" t="n"/>
      <c r="G6" s="13" t="n"/>
      <c r="H6" s="14" t="n"/>
    </row>
    <row r="7" ht="15" customHeight="1" thickTop="1">
      <c r="A7" s="91" t="inlineStr">
        <is>
          <t>Titan Company Ltd.</t>
        </is>
      </c>
      <c r="B7" s="92" t="n"/>
      <c r="C7" s="92" t="n"/>
      <c r="D7" s="92" t="n"/>
      <c r="E7" s="93" t="n"/>
      <c r="F7" s="4" t="inlineStr">
        <is>
          <t xml:space="preserve">Bill No. : </t>
        </is>
      </c>
      <c r="G7" s="81" t="n"/>
      <c r="H7" s="5" t="n"/>
    </row>
    <row r="8">
      <c r="A8" s="94" t="inlineStr">
        <is>
          <t>Equinox Business Park</t>
        </is>
      </c>
      <c r="E8" s="95" t="n"/>
      <c r="F8" s="96" t="inlineStr">
        <is>
          <t>PAN: AAECJ2353C</t>
        </is>
      </c>
      <c r="H8" s="23" t="n"/>
    </row>
    <row r="9">
      <c r="A9" s="94" t="inlineStr">
        <is>
          <t>3rd Floor, Tower-3</t>
        </is>
      </c>
      <c r="E9" s="95" t="n"/>
      <c r="F9" s="96" t="inlineStr">
        <is>
          <t>GST No:  27AAECJ2353C1ZX</t>
        </is>
      </c>
      <c r="H9" s="23" t="n"/>
      <c r="I9" s="6" t="n"/>
    </row>
    <row r="10">
      <c r="A10" s="94" t="inlineStr">
        <is>
          <t>LBS Marg, Ambedkar Nagar, Kurla west</t>
        </is>
      </c>
      <c r="E10" s="95" t="n"/>
      <c r="F10" s="96" t="inlineStr">
        <is>
          <t>PF No.- KDMAL1720777000</t>
        </is>
      </c>
      <c r="H10" s="23" t="n"/>
      <c r="I10" s="6" t="n"/>
    </row>
    <row r="11">
      <c r="A11" s="94" t="inlineStr">
        <is>
          <t>Mumbai-400070</t>
        </is>
      </c>
      <c r="E11" s="95" t="n"/>
      <c r="F11" s="96" t="inlineStr">
        <is>
          <t>ESIC No.- 35000427980001001</t>
        </is>
      </c>
      <c r="H11" s="23" t="n"/>
      <c r="I11" s="6" t="n"/>
    </row>
    <row r="12">
      <c r="A12" s="7" t="inlineStr">
        <is>
          <t xml:space="preserve">GST NO: </t>
        </is>
      </c>
      <c r="B12" s="8" t="inlineStr">
        <is>
          <t>27AAACT5131A1ZX</t>
        </is>
      </c>
      <c r="C12" s="8" t="n"/>
      <c r="D12" s="8" t="n"/>
      <c r="E12" s="9" t="n"/>
      <c r="F12" s="82" t="inlineStr">
        <is>
          <t xml:space="preserve">Bill Date : </t>
        </is>
      </c>
      <c r="G12" s="83" t="inlineStr">
        <is>
          <t>28-02-2026</t>
        </is>
      </c>
      <c r="H12" s="84" t="n"/>
    </row>
    <row r="13">
      <c r="A13" s="7" t="inlineStr">
        <is>
          <t xml:space="preserve">PAN:  </t>
        </is>
      </c>
      <c r="B13" s="8" t="inlineStr">
        <is>
          <t>AABCD7169H</t>
        </is>
      </c>
      <c r="C13" s="8" t="n"/>
      <c r="D13" s="8" t="n"/>
      <c r="E13" s="9" t="n"/>
      <c r="F13" s="85" t="inlineStr">
        <is>
          <t>Due Date:</t>
        </is>
      </c>
      <c r="G13" s="86" t="inlineStr">
        <is>
          <t>03-03-2026</t>
        </is>
      </c>
      <c r="H13" s="87" t="n"/>
    </row>
    <row r="14">
      <c r="A14" s="7" t="inlineStr">
        <is>
          <t xml:space="preserve">Kind Attn: </t>
        </is>
      </c>
      <c r="B14" s="8" t="inlineStr">
        <is>
          <t>Mr. Sagar Thumma</t>
        </is>
      </c>
      <c r="C14" s="8" t="n"/>
      <c r="D14" s="8" t="n"/>
      <c r="E14" s="9" t="n"/>
      <c r="F14" s="97" t="inlineStr">
        <is>
          <t>SAC Code:  998513 (Contract Staffing)</t>
        </is>
      </c>
      <c r="H14" s="23" t="n"/>
    </row>
    <row r="15" ht="15" customHeight="1" thickBot="1">
      <c r="A15" s="94" t="n"/>
      <c r="E15" s="95" t="n"/>
      <c r="F15" s="97" t="inlineStr">
        <is>
          <t>Place of Service: Navi Mumbai</t>
        </is>
      </c>
      <c r="H15" s="23" t="n"/>
      <c r="I15" s="10" t="n"/>
      <c r="K15" s="98" t="n"/>
    </row>
    <row r="16" ht="15" customHeight="1" thickBot="1">
      <c r="A16" s="12" t="n"/>
      <c r="B16" s="13" t="n"/>
      <c r="C16" s="13" t="n"/>
      <c r="D16" s="13" t="n"/>
      <c r="E16" s="14" t="n"/>
      <c r="F16" s="41" t="inlineStr">
        <is>
          <t xml:space="preserve">Vendor Code: </t>
        </is>
      </c>
      <c r="G16" s="16" t="n">
        <v>3347687</v>
      </c>
      <c r="H16" s="14" t="n"/>
    </row>
    <row r="17" ht="16.5" customHeight="1">
      <c r="A17" s="99" t="inlineStr">
        <is>
          <t>Contract staffing services for Assistance in Various Department Period: 01 Feb 2026 to 28 Feb 2026</t>
        </is>
      </c>
      <c r="B17" s="100" t="n"/>
      <c r="C17" s="100" t="n"/>
      <c r="D17" s="100" t="n"/>
      <c r="E17" s="100" t="n"/>
      <c r="F17" s="100" t="n"/>
      <c r="G17" s="101" t="n"/>
      <c r="H17" s="102" t="n">
        <v>166213</v>
      </c>
    </row>
    <row r="18">
      <c r="A18" s="18" t="n"/>
      <c r="G18" s="23" t="n"/>
      <c r="H18" s="103" t="n"/>
    </row>
    <row r="19">
      <c r="A19" s="18" t="n"/>
      <c r="G19" s="23" t="n"/>
      <c r="H19" s="103" t="n"/>
    </row>
    <row r="20" ht="15" customHeight="1" thickBot="1">
      <c r="A20" s="24" t="n"/>
      <c r="B20" s="27" t="n"/>
      <c r="C20" s="27" t="n"/>
      <c r="D20" s="27" t="n"/>
      <c r="E20" s="27" t="n"/>
      <c r="F20" s="27" t="n"/>
      <c r="G20" s="28" t="n"/>
      <c r="H20" s="104" t="n"/>
    </row>
    <row r="21" ht="18" customHeight="1" thickBot="1">
      <c r="A21" s="64" t="inlineStr">
        <is>
          <t>Add : SGST @ 9%</t>
        </is>
      </c>
      <c r="B21" s="13" t="n"/>
      <c r="C21" s="13" t="n"/>
      <c r="D21" s="13" t="n"/>
      <c r="E21" s="13" t="n"/>
      <c r="F21" s="13" t="n"/>
      <c r="G21" s="14" t="n"/>
      <c r="H21" s="102" t="n">
        <v>14958</v>
      </c>
    </row>
    <row r="22" ht="15.75" customHeight="1" thickBot="1">
      <c r="A22" s="64" t="inlineStr">
        <is>
          <t>Add : CGST @ 9%</t>
        </is>
      </c>
      <c r="B22" s="13" t="n"/>
      <c r="C22" s="13" t="n"/>
      <c r="D22" s="13" t="n"/>
      <c r="E22" s="13" t="n"/>
      <c r="F22" s="13" t="n"/>
      <c r="G22" s="14" t="n"/>
      <c r="H22" s="102" t="n">
        <v>14958</v>
      </c>
    </row>
    <row r="23" ht="15" customHeight="1">
      <c r="A23" s="18" t="n"/>
      <c r="H23" s="102" t="n">
        <v>196132</v>
      </c>
    </row>
    <row r="24" ht="16.5" customHeight="1">
      <c r="A24" s="19" t="inlineStr">
        <is>
          <t>Rupees:</t>
        </is>
      </c>
      <c r="B24" s="20" t="inlineStr">
        <is>
          <t>One Lakh, Ninety-Six Thousand, One Hundred And Thirty-Two Only</t>
        </is>
      </c>
      <c r="H24" s="103" t="n"/>
    </row>
    <row r="25" ht="15.75" customHeight="1" thickBot="1">
      <c r="A25" s="21" t="n"/>
      <c r="B25" s="22" t="n"/>
      <c r="C25" s="22" t="n"/>
      <c r="D25" s="22" t="n"/>
      <c r="E25" s="22" t="n"/>
      <c r="F25" s="22" t="n"/>
      <c r="G25" s="22" t="n"/>
      <c r="H25" s="104" t="n"/>
    </row>
    <row r="26" ht="15" customHeight="1" thickTop="1">
      <c r="A26" s="18" t="n"/>
      <c r="H26" s="23" t="n"/>
    </row>
    <row r="27">
      <c r="A27" s="18" t="n"/>
      <c r="H27" s="23" t="n"/>
    </row>
    <row r="28">
      <c r="A28" s="18" t="n"/>
      <c r="H28" s="23" t="n"/>
    </row>
    <row r="29">
      <c r="A29" s="18" t="n"/>
      <c r="H29" s="23" t="n"/>
    </row>
    <row r="30">
      <c r="A30" s="18" t="n"/>
      <c r="H30" s="23" t="n"/>
    </row>
    <row r="31" ht="15" customHeight="1" thickBot="1">
      <c r="A31" s="18" t="n"/>
      <c r="H31" s="23" t="n"/>
    </row>
    <row r="32" ht="15" customHeight="1" thickBot="1">
      <c r="A32" s="105" t="inlineStr">
        <is>
          <t>Bank Details:</t>
        </is>
      </c>
      <c r="B32" s="13" t="n"/>
      <c r="C32" s="14" t="n"/>
      <c r="H32" s="23" t="n"/>
    </row>
    <row r="33">
      <c r="A33" s="18" t="inlineStr">
        <is>
          <t>Name:</t>
        </is>
      </c>
      <c r="B33" s="35" t="inlineStr">
        <is>
          <t>Jobuss Resources Pvt. Ltd.</t>
        </is>
      </c>
      <c r="C33" s="23" t="n"/>
      <c r="H33" s="23" t="n"/>
    </row>
    <row r="34">
      <c r="A34" s="18" t="inlineStr">
        <is>
          <t>Bank Name:</t>
        </is>
      </c>
      <c r="B34" s="35" t="inlineStr">
        <is>
          <t>ICICI Bank</t>
        </is>
      </c>
      <c r="C34" s="23" t="n"/>
      <c r="H34" s="23" t="n"/>
    </row>
    <row r="35">
      <c r="A35" s="18" t="inlineStr">
        <is>
          <t>A/c No.:</t>
        </is>
      </c>
      <c r="B35" s="106" t="inlineStr">
        <is>
          <t>120905000960</t>
        </is>
      </c>
      <c r="C35" s="23" t="n"/>
      <c r="H35" s="23" t="n"/>
    </row>
    <row r="36">
      <c r="A36" s="18" t="inlineStr">
        <is>
          <t>IFSC Code:</t>
        </is>
      </c>
      <c r="B36" s="35" t="inlineStr">
        <is>
          <t>ICIC0001209</t>
        </is>
      </c>
      <c r="C36" s="23" t="n"/>
      <c r="H36" s="23" t="n"/>
    </row>
    <row r="37" ht="15" customHeight="1" thickBot="1">
      <c r="A37" s="24" t="inlineStr">
        <is>
          <t>MICR No:</t>
        </is>
      </c>
      <c r="B37" s="107" t="inlineStr">
        <is>
          <t>400229195</t>
        </is>
      </c>
      <c r="C37" s="28" t="n"/>
      <c r="H37" s="23" t="n"/>
    </row>
    <row r="38">
      <c r="A38" s="18" t="n"/>
      <c r="H38" s="23" t="n"/>
    </row>
    <row r="39">
      <c r="A39" s="18" t="n"/>
      <c r="H39" s="23" t="n"/>
    </row>
    <row r="40">
      <c r="A40" s="18" t="n"/>
      <c r="H40" s="23" t="n"/>
    </row>
    <row r="41">
      <c r="A41" s="18" t="n"/>
      <c r="H41" s="23" t="n"/>
    </row>
    <row r="42">
      <c r="A42" s="18" t="n"/>
      <c r="H42" s="23" t="n"/>
    </row>
    <row r="43">
      <c r="A43" s="18" t="n"/>
      <c r="H43" s="23" t="n"/>
    </row>
    <row r="44">
      <c r="A44" s="18" t="n"/>
      <c r="H44" s="23" t="n"/>
    </row>
    <row r="45" ht="15.6" customHeight="1">
      <c r="A45" s="18" t="n"/>
      <c r="G45" s="30" t="inlineStr">
        <is>
          <t xml:space="preserve">    For Jobuss Resources Pvt. Ltd.</t>
        </is>
      </c>
      <c r="H45" s="23" t="n"/>
    </row>
    <row r="46">
      <c r="A46" s="18" t="n"/>
      <c r="H46" s="23" t="n"/>
    </row>
    <row r="47">
      <c r="A47" s="18" t="n"/>
      <c r="H47" s="23" t="n"/>
    </row>
    <row r="48">
      <c r="A48" s="18" t="n"/>
      <c r="H48" s="23" t="n"/>
    </row>
    <row r="49">
      <c r="A49" s="18" t="n"/>
      <c r="H49" s="23" t="n"/>
    </row>
    <row r="50">
      <c r="A50" s="18" t="n"/>
      <c r="H50" s="23" t="n"/>
    </row>
    <row r="51">
      <c r="A51" s="18" t="n"/>
      <c r="H51" s="23" t="n"/>
    </row>
    <row r="52">
      <c r="A52" s="18" t="n"/>
      <c r="H52" s="23" t="n"/>
    </row>
    <row r="53" ht="15.6" customHeight="1">
      <c r="A53" s="18" t="n"/>
      <c r="G53" s="30" t="inlineStr">
        <is>
          <t xml:space="preserve">            Authorized Signatory</t>
        </is>
      </c>
      <c r="H53" s="23" t="n"/>
    </row>
    <row r="54" ht="15.6" customHeight="1">
      <c r="A54" s="18" t="n"/>
      <c r="G54" s="20" t="n"/>
      <c r="H54" s="23" t="n"/>
    </row>
    <row r="55" ht="15.6" customHeight="1">
      <c r="A55" s="18" t="n"/>
      <c r="G55" s="20" t="n"/>
      <c r="H55" s="23" t="n"/>
    </row>
    <row r="56" ht="15.6" customHeight="1">
      <c r="A56" s="18" t="n"/>
      <c r="G56" s="20" t="n"/>
      <c r="H56" s="23" t="n"/>
    </row>
    <row r="57" ht="15.6" customHeight="1">
      <c r="A57" s="18" t="n"/>
      <c r="G57" s="20" t="n"/>
      <c r="H57" s="23" t="n"/>
    </row>
    <row r="58">
      <c r="A58" s="18" t="n"/>
      <c r="H58" s="23" t="n"/>
    </row>
    <row r="59" ht="15.6" customHeight="1">
      <c r="A59" s="25" t="inlineStr">
        <is>
          <t>●   Early Remittance is Solicited.</t>
        </is>
      </c>
      <c r="B59" s="26" t="n"/>
      <c r="H59" s="23" t="n"/>
    </row>
    <row r="60" ht="15.75" customHeight="1">
      <c r="A60" s="108" t="inlineStr">
        <is>
          <t xml:space="preserve">  ●   GST No  27AAECJ2353C1ZX &amp; SAC Code  998513</t>
        </is>
      </c>
      <c r="H60" s="23" t="n"/>
    </row>
    <row r="61" ht="22.5" customHeight="1">
      <c r="A61" s="18" t="n"/>
      <c r="H61" s="23" t="n"/>
    </row>
    <row r="62" ht="15" customHeight="1" thickBot="1">
      <c r="A62" s="24" t="n"/>
      <c r="B62" s="27" t="n"/>
      <c r="C62" s="27" t="n"/>
      <c r="D62" s="27" t="n"/>
      <c r="E62" s="27" t="n"/>
      <c r="F62" s="27" t="n"/>
      <c r="G62" s="27" t="n"/>
      <c r="H62" s="28" t="n"/>
    </row>
  </sheetData>
  <mergeCells count="31">
    <mergeCell ref="A15:E15"/>
    <mergeCell ref="A22:G22"/>
    <mergeCell ref="A11:E11"/>
    <mergeCell ref="F8:H8"/>
    <mergeCell ref="F2:H2"/>
    <mergeCell ref="A6:H6"/>
    <mergeCell ref="A32:C32"/>
    <mergeCell ref="A7:E7"/>
    <mergeCell ref="H17:H20"/>
    <mergeCell ref="G53:H53"/>
    <mergeCell ref="F9:H9"/>
    <mergeCell ref="H23:H25"/>
    <mergeCell ref="A3:H3"/>
    <mergeCell ref="F14:H14"/>
    <mergeCell ref="A2:E2"/>
    <mergeCell ref="B34:C34"/>
    <mergeCell ref="B37:C37"/>
    <mergeCell ref="A17:G20"/>
    <mergeCell ref="G45:H45"/>
    <mergeCell ref="A8:E8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paperSize="9" scale="7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9" t="inlineStr">
        <is>
          <t>Kind Attention Person</t>
        </is>
      </c>
      <c r="B1" s="109" t="inlineStr">
        <is>
          <t>Employee Code</t>
        </is>
      </c>
      <c r="C1" s="109" t="inlineStr">
        <is>
          <t>Employee Name</t>
        </is>
      </c>
      <c r="D1" s="109" t="inlineStr">
        <is>
          <t>Billing</t>
        </is>
      </c>
      <c r="E1" s="109" t="inlineStr">
        <is>
          <t>No of days</t>
        </is>
      </c>
      <c r="F1" s="109" t="inlineStr">
        <is>
          <t>Eligible Days</t>
        </is>
      </c>
      <c r="G1" s="109" t="inlineStr">
        <is>
          <t>No of Saturdays</t>
        </is>
      </c>
      <c r="H1" s="109" t="inlineStr">
        <is>
          <t>No of Sundays</t>
        </is>
      </c>
      <c r="I1" s="109" t="inlineStr">
        <is>
          <t>No of Holidays</t>
        </is>
      </c>
      <c r="J1" s="109" t="inlineStr">
        <is>
          <t>Total Present</t>
        </is>
      </c>
      <c r="K1" s="109" t="inlineStr">
        <is>
          <t>Total Working Days</t>
        </is>
      </c>
      <c r="L1" s="109" t="inlineStr">
        <is>
          <t>Absents this Month</t>
        </is>
      </c>
      <c r="M1" s="109" t="inlineStr">
        <is>
          <t>Adjustment of Days</t>
        </is>
      </c>
      <c r="N1" s="109" t="inlineStr">
        <is>
          <t>Total Payable Days</t>
        </is>
      </c>
      <c r="O1" s="109" t="inlineStr">
        <is>
          <t>Total Payable Billing</t>
        </is>
      </c>
      <c r="P1" s="109" t="inlineStr">
        <is>
          <t>Charges</t>
        </is>
      </c>
      <c r="Q1" s="109" t="inlineStr">
        <is>
          <t>Out of Pocket Exp</t>
        </is>
      </c>
      <c r="R1" s="109" t="inlineStr">
        <is>
          <t>Arrears</t>
        </is>
      </c>
      <c r="S1" s="109" t="inlineStr">
        <is>
          <t>Total</t>
        </is>
      </c>
      <c r="T1" s="109" t="inlineStr">
        <is>
          <t>Grand Total</t>
        </is>
      </c>
      <c r="U1" s="109" t="inlineStr">
        <is>
          <t>Remark</t>
        </is>
      </c>
      <c r="V1" s="109" t="inlineStr">
        <is>
          <t>CGST @9%</t>
        </is>
      </c>
      <c r="W1" s="109" t="inlineStr">
        <is>
          <t>SGST @9%</t>
        </is>
      </c>
    </row>
    <row r="2">
      <c r="A2" s="110" t="inlineStr">
        <is>
          <t>Sagar Thumma</t>
        </is>
      </c>
      <c r="B2" s="110" t="inlineStr">
        <is>
          <t>AB10061</t>
        </is>
      </c>
      <c r="C2" s="110" t="inlineStr">
        <is>
          <t>VISMAYA SURESH NAIR</t>
        </is>
      </c>
      <c r="D2" s="110" t="n">
        <v>22000</v>
      </c>
      <c r="E2" s="110" t="n">
        <v>28</v>
      </c>
      <c r="F2" s="110" t="n">
        <v>28</v>
      </c>
      <c r="G2" s="110" t="n">
        <v>4</v>
      </c>
      <c r="H2" s="110" t="n">
        <v>4</v>
      </c>
      <c r="I2" s="110" t="n">
        <v>3</v>
      </c>
      <c r="J2" s="110" t="n">
        <v>17</v>
      </c>
      <c r="K2" s="110" t="n">
        <v>28</v>
      </c>
      <c r="L2" s="110" t="n">
        <v>2</v>
      </c>
      <c r="M2" s="110" t="n">
        <v>2</v>
      </c>
      <c r="N2" s="110" t="n">
        <v>30</v>
      </c>
      <c r="O2" s="110" t="n">
        <v>23571</v>
      </c>
      <c r="P2" s="110" t="n">
        <v>1500</v>
      </c>
      <c r="Q2" s="110" t="n">
        <v>0</v>
      </c>
      <c r="R2" s="110" t="n">
        <v>0</v>
      </c>
      <c r="S2" s="110" t="n">
        <v>25071</v>
      </c>
      <c r="T2" s="110" t="n">
        <v>29584</v>
      </c>
      <c r="U2" s="110" t="n">
        <v/>
      </c>
      <c r="V2" s="110" t="n">
        <v>2256</v>
      </c>
      <c r="W2" s="110" t="n">
        <v>2256</v>
      </c>
    </row>
    <row r="3">
      <c r="A3" s="110" t="inlineStr">
        <is>
          <t>Sagar Thumma</t>
        </is>
      </c>
      <c r="B3" s="110" t="inlineStr">
        <is>
          <t>AB10063</t>
        </is>
      </c>
      <c r="C3" s="110" t="inlineStr">
        <is>
          <t>RENUKA SHRIVASTAV</t>
        </is>
      </c>
      <c r="D3" s="110" t="n">
        <v>22000</v>
      </c>
      <c r="E3" s="110" t="n">
        <v>28</v>
      </c>
      <c r="F3" s="110" t="n">
        <v>28</v>
      </c>
      <c r="G3" s="110" t="n">
        <v>4</v>
      </c>
      <c r="H3" s="110" t="n">
        <v>4</v>
      </c>
      <c r="I3" s="110" t="n">
        <v>3</v>
      </c>
      <c r="J3" s="110" t="n">
        <v>16</v>
      </c>
      <c r="K3" s="110" t="n">
        <v>27</v>
      </c>
      <c r="L3" s="110" t="n">
        <v>3</v>
      </c>
      <c r="M3" s="110" t="n">
        <v>2</v>
      </c>
      <c r="N3" s="110" t="n">
        <v>29</v>
      </c>
      <c r="O3" s="110" t="n">
        <v>22786</v>
      </c>
      <c r="P3" s="110" t="n">
        <v>1500</v>
      </c>
      <c r="Q3" s="110" t="n">
        <v>0</v>
      </c>
      <c r="R3" s="110" t="n">
        <v>0</v>
      </c>
      <c r="S3" s="110" t="n">
        <v>24286</v>
      </c>
      <c r="T3" s="110" t="n">
        <v>28657</v>
      </c>
      <c r="U3" s="110" t="n">
        <v/>
      </c>
      <c r="V3" s="110" t="n">
        <v>2186</v>
      </c>
      <c r="W3" s="110" t="n">
        <v>2186</v>
      </c>
    </row>
    <row r="4">
      <c r="A4" s="110" t="inlineStr">
        <is>
          <t>Sagar Thumma</t>
        </is>
      </c>
      <c r="B4" s="110" t="inlineStr">
        <is>
          <t>AB10080</t>
        </is>
      </c>
      <c r="C4" s="110" t="inlineStr">
        <is>
          <t>NIKITA TAMBE</t>
        </is>
      </c>
      <c r="D4" s="110" t="n">
        <v>26200</v>
      </c>
      <c r="E4" s="110" t="n">
        <v>28</v>
      </c>
      <c r="F4" s="110" t="n">
        <v>28</v>
      </c>
      <c r="G4" s="110" t="n">
        <v>4</v>
      </c>
      <c r="H4" s="110" t="n">
        <v>4</v>
      </c>
      <c r="I4" s="110" t="n">
        <v>3</v>
      </c>
      <c r="J4" s="110" t="n">
        <v>19</v>
      </c>
      <c r="K4" s="110" t="n">
        <v>30</v>
      </c>
      <c r="L4" s="110" t="n">
        <v>0</v>
      </c>
      <c r="M4" s="110" t="n">
        <v>0</v>
      </c>
      <c r="N4" s="110" t="n">
        <v>30</v>
      </c>
      <c r="O4" s="110" t="n">
        <v>28071</v>
      </c>
      <c r="P4" s="110" t="n">
        <v>1500</v>
      </c>
      <c r="Q4" s="110" t="n">
        <v>0</v>
      </c>
      <c r="R4" s="110" t="n">
        <v>0</v>
      </c>
      <c r="S4" s="110" t="n">
        <v>29571</v>
      </c>
      <c r="T4" s="110" t="n">
        <v>34894</v>
      </c>
      <c r="U4" s="110" t="n">
        <v/>
      </c>
      <c r="V4" s="110" t="n">
        <v>2661</v>
      </c>
      <c r="W4" s="110" t="n">
        <v>2661</v>
      </c>
    </row>
    <row r="5">
      <c r="A5" s="110" t="inlineStr">
        <is>
          <t>Sagar Thumma</t>
        </is>
      </c>
      <c r="B5" s="110" t="inlineStr">
        <is>
          <t>AB10085</t>
        </is>
      </c>
      <c r="C5" s="110" t="inlineStr">
        <is>
          <t>AKASH DILIPKUMAR GUPTA</t>
        </is>
      </c>
      <c r="D5" s="110" t="n">
        <v>19200</v>
      </c>
      <c r="E5" s="110" t="n">
        <v>28</v>
      </c>
      <c r="F5" s="110" t="n">
        <v>28</v>
      </c>
      <c r="G5" s="110" t="n">
        <v>4</v>
      </c>
      <c r="H5" s="110" t="n">
        <v>4</v>
      </c>
      <c r="I5" s="110" t="n">
        <v>3</v>
      </c>
      <c r="J5" s="110" t="n">
        <v>18</v>
      </c>
      <c r="K5" s="110" t="n">
        <v>29</v>
      </c>
      <c r="L5" s="110" t="n">
        <v>1</v>
      </c>
      <c r="M5" s="110" t="n">
        <v>1</v>
      </c>
      <c r="N5" s="110" t="n">
        <v>30</v>
      </c>
      <c r="O5" s="110" t="n">
        <v>20571</v>
      </c>
      <c r="P5" s="110" t="n">
        <v>1500</v>
      </c>
      <c r="Q5" s="110" t="n">
        <v>0</v>
      </c>
      <c r="R5" s="110" t="n">
        <v>0</v>
      </c>
      <c r="S5" s="110" t="n">
        <v>22071</v>
      </c>
      <c r="T5" s="110" t="n">
        <v>26044</v>
      </c>
      <c r="U5" s="110" t="n">
        <v/>
      </c>
      <c r="V5" s="110" t="n">
        <v>1986</v>
      </c>
      <c r="W5" s="110" t="n">
        <v>1986</v>
      </c>
    </row>
    <row r="6">
      <c r="A6" s="110" t="inlineStr">
        <is>
          <t>Sagar Thumma</t>
        </is>
      </c>
      <c r="B6" s="110" t="inlineStr">
        <is>
          <t>AB10087</t>
        </is>
      </c>
      <c r="C6" s="110" t="inlineStr">
        <is>
          <t>RIDDHI RAVINDRA NARKAR</t>
        </is>
      </c>
      <c r="D6" s="110" t="n">
        <v>31000</v>
      </c>
      <c r="E6" s="110" t="n">
        <v>28</v>
      </c>
      <c r="F6" s="110" t="n">
        <v>28</v>
      </c>
      <c r="G6" s="110" t="n">
        <v>4</v>
      </c>
      <c r="H6" s="110" t="n">
        <v>4</v>
      </c>
      <c r="I6" s="110" t="n">
        <v>3</v>
      </c>
      <c r="J6" s="110" t="n">
        <v>19</v>
      </c>
      <c r="K6" s="110" t="n">
        <v>30</v>
      </c>
      <c r="L6" s="110" t="n">
        <v>0</v>
      </c>
      <c r="M6" s="110" t="n">
        <v>0</v>
      </c>
      <c r="N6" s="110" t="n">
        <v>30</v>
      </c>
      <c r="O6" s="110" t="n">
        <v>33214</v>
      </c>
      <c r="P6" s="110" t="n">
        <v>2000</v>
      </c>
      <c r="Q6" s="110" t="n">
        <v>0</v>
      </c>
      <c r="R6" s="110" t="n">
        <v>0</v>
      </c>
      <c r="S6" s="110" t="n">
        <v>35214</v>
      </c>
      <c r="T6" s="110" t="n">
        <v>41553</v>
      </c>
      <c r="U6" s="110" t="n">
        <v/>
      </c>
      <c r="V6" s="110" t="n">
        <v>3169</v>
      </c>
      <c r="W6" s="110" t="n">
        <v>3169</v>
      </c>
    </row>
    <row r="7">
      <c r="A7" s="110" t="inlineStr">
        <is>
          <t>Sagar Thumma</t>
        </is>
      </c>
      <c r="B7" s="110" t="inlineStr">
        <is>
          <t>AB10088</t>
        </is>
      </c>
      <c r="C7" s="110" t="inlineStr">
        <is>
          <t>VINAY YASWANT JOSHI</t>
        </is>
      </c>
      <c r="D7" s="110" t="n">
        <v>26600</v>
      </c>
      <c r="E7" s="110" t="n">
        <v>28</v>
      </c>
      <c r="F7" s="110" t="n">
        <v>28</v>
      </c>
      <c r="G7" s="110" t="n">
        <v>4</v>
      </c>
      <c r="H7" s="110" t="n">
        <v>4</v>
      </c>
      <c r="I7" s="110" t="n">
        <v>3</v>
      </c>
      <c r="J7" s="110" t="n">
        <v>19</v>
      </c>
      <c r="K7" s="110" t="n">
        <v>30</v>
      </c>
      <c r="L7" s="110" t="n">
        <v>0</v>
      </c>
      <c r="M7" s="110" t="n">
        <v>0</v>
      </c>
      <c r="N7" s="110" t="n">
        <v>30</v>
      </c>
      <c r="O7" s="110" t="n">
        <v>28500</v>
      </c>
      <c r="P7" s="110" t="n">
        <v>1500</v>
      </c>
      <c r="Q7" s="110" t="n">
        <v>0</v>
      </c>
      <c r="R7" s="110" t="n">
        <v>0</v>
      </c>
      <c r="S7" s="110" t="n">
        <v>30000</v>
      </c>
      <c r="T7" s="110" t="n">
        <v>35400</v>
      </c>
      <c r="U7" s="110" t="n">
        <v/>
      </c>
      <c r="V7" s="110" t="n">
        <v>2700</v>
      </c>
      <c r="W7" s="110" t="n">
        <v>2700</v>
      </c>
    </row>
    <row r="8">
      <c r="A8" s="111" t="inlineStr">
        <is>
          <t>TOTAL</t>
        </is>
      </c>
      <c r="B8" s="111" t="n"/>
      <c r="C8" s="111" t="n"/>
      <c r="D8" s="111">
        <f>ROUND(SUM(D2:D7), 0)</f>
        <v/>
      </c>
      <c r="E8" s="111">
        <f>ROUND(SUM(E2:E7), 0)</f>
        <v/>
      </c>
      <c r="F8" s="111">
        <f>ROUND(SUM(F2:F7), 0)</f>
        <v/>
      </c>
      <c r="G8" s="111">
        <f>ROUND(SUM(G2:G7), 0)</f>
        <v/>
      </c>
      <c r="H8" s="111">
        <f>ROUND(SUM(H2:H7), 0)</f>
        <v/>
      </c>
      <c r="I8" s="111">
        <f>ROUND(SUM(I2:I7), 0)</f>
        <v/>
      </c>
      <c r="J8" s="111">
        <f>ROUND(SUM(J2:J7), 0)</f>
        <v/>
      </c>
      <c r="K8" s="111">
        <f>ROUND(SUM(K2:K7), 0)</f>
        <v/>
      </c>
      <c r="L8" s="111">
        <f>ROUND(SUM(L2:L7), 0)</f>
        <v/>
      </c>
      <c r="M8" s="111">
        <f>ROUND(SUM(M2:M7), 0)</f>
        <v/>
      </c>
      <c r="N8" s="111">
        <f>ROUND(SUM(N2:N7), 0)</f>
        <v/>
      </c>
      <c r="O8" s="111">
        <f>ROUND(SUM(O2:O7), 0)</f>
        <v/>
      </c>
      <c r="P8" s="111">
        <f>ROUND(SUM(P2:P7), 0)</f>
        <v/>
      </c>
      <c r="Q8" s="111">
        <f>ROUND(SUM(Q2:Q7), 0)</f>
        <v/>
      </c>
      <c r="R8" s="111">
        <f>ROUND(SUM(R2:R7), 0)</f>
        <v/>
      </c>
      <c r="S8" s="111">
        <f>ROUND(SUM(S2:S7), 0)</f>
        <v/>
      </c>
      <c r="T8" s="111">
        <f>ROUND(SUM(S8,V8,W8), 0)</f>
        <v/>
      </c>
      <c r="U8" s="111" t="n"/>
      <c r="V8" s="111">
        <f>CEILING(SUM(V2:V7), 1)</f>
        <v/>
      </c>
      <c r="W8" s="111">
        <f>CEILING(SUM(W2:W7),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Jobuss Resources</dc:creator>
  <dcterms:created xsi:type="dcterms:W3CDTF">2025-12-30T11:23:59Z</dcterms:created>
  <dcterms:modified xsi:type="dcterms:W3CDTF">2026-02-28T12:36:48Z</dcterms:modified>
  <cp:lastModifiedBy>Kanishk Maheshwari</cp:lastModifiedBy>
  <cp:lastPrinted>2026-01-03T10:37:08Z</cp:lastPrinted>
</cp:coreProperties>
</file>