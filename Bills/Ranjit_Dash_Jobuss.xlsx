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njit Da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36" zoomScale="116" zoomScaleNormal="55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7" t="n"/>
      <c r="C2" s="7" t="n"/>
      <c r="D2" s="7" t="n"/>
      <c r="E2" s="7" t="n"/>
      <c r="F2" s="73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CORPORATE IT PARK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>5, TTC Industrial Area, Reliance Corporate Park,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- Belapur Road, Ghansoli, Navi Mumbai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Thane, Maharashtra, 400701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27AABCD7169H2ZF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>AABCD7169H</t>
        </is>
      </c>
      <c r="C12" s="27" t="n"/>
      <c r="D12" s="27" t="n"/>
      <c r="E12" s="28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26" t="inlineStr">
        <is>
          <t xml:space="preserve">Kind Attn: </t>
        </is>
      </c>
      <c r="B13" s="27" t="inlineStr">
        <is>
          <t>Mr. Ranjit Dash</t>
        </is>
      </c>
      <c r="C13" s="27" t="n"/>
      <c r="D13" s="27" t="n"/>
      <c r="E13" s="28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49" t="n"/>
      <c r="B16" s="7" t="n"/>
      <c r="C16" s="7" t="n"/>
      <c r="D16" s="7" t="n"/>
      <c r="E16" s="8" t="n"/>
      <c r="F16" s="49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80357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47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7232</v>
      </c>
    </row>
    <row r="22" ht="15.75" customHeight="1" thickBot="1">
      <c r="A22" s="47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7232</v>
      </c>
    </row>
    <row r="23" ht="15" customHeight="1">
      <c r="A23" s="12" t="n"/>
      <c r="H23" s="98" t="n">
        <v>94821</v>
      </c>
    </row>
    <row r="24" ht="16.5" customHeight="1">
      <c r="A24" s="13" t="inlineStr">
        <is>
          <t>Rupees:</t>
        </is>
      </c>
      <c r="B24" s="14" t="inlineStr">
        <is>
          <t>Ninety-Four Thousand, Eight Hundred And Twenty-One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2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2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2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Ranjit Dash</t>
        </is>
      </c>
      <c r="B2" s="106" t="inlineStr">
        <is>
          <t>Reliance Industries Ltd</t>
        </is>
      </c>
      <c r="C2" s="106" t="inlineStr">
        <is>
          <t>JB-10262</t>
        </is>
      </c>
      <c r="D2" s="106" t="inlineStr">
        <is>
          <t>POOJA KUMARI</t>
        </is>
      </c>
      <c r="E2" s="106" t="n">
        <v>55000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1</v>
      </c>
      <c r="K2" s="106" t="n">
        <v>19</v>
      </c>
      <c r="L2" s="106" t="n">
        <v>28</v>
      </c>
      <c r="M2" s="106" t="n">
        <v>0</v>
      </c>
      <c r="N2" s="106" t="n">
        <v>0</v>
      </c>
      <c r="O2" s="106" t="n">
        <v>28</v>
      </c>
      <c r="P2" s="106" t="n">
        <v>55000</v>
      </c>
      <c r="Q2" s="106" t="n">
        <v>5000</v>
      </c>
      <c r="R2" s="106" t="n">
        <v>0</v>
      </c>
      <c r="S2" s="106" t="n">
        <v>0</v>
      </c>
      <c r="T2" s="106" t="n">
        <v>60000</v>
      </c>
      <c r="U2" s="106" t="n">
        <v>5400</v>
      </c>
      <c r="V2" s="106" t="n">
        <v>5400</v>
      </c>
      <c r="W2" s="106" t="n">
        <v>0</v>
      </c>
      <c r="X2" s="106" t="n">
        <v>70800</v>
      </c>
      <c r="Y2" s="106" t="n">
        <v/>
      </c>
    </row>
    <row r="3">
      <c r="A3" s="106" t="inlineStr">
        <is>
          <t>Ranjit Dash</t>
        </is>
      </c>
      <c r="B3" s="106" t="inlineStr">
        <is>
          <t>Reliance Industries Ltd</t>
        </is>
      </c>
      <c r="C3" s="106" t="inlineStr">
        <is>
          <t>JB-10261</t>
        </is>
      </c>
      <c r="D3" s="106" t="inlineStr">
        <is>
          <t>ANKIT NAVNATH JADHAV</t>
        </is>
      </c>
      <c r="E3" s="106" t="n">
        <v>52000</v>
      </c>
      <c r="F3" s="106" t="n">
        <v>28</v>
      </c>
      <c r="G3" s="106" t="n">
        <v>28</v>
      </c>
      <c r="H3" s="106" t="n">
        <v>4</v>
      </c>
      <c r="I3" s="106" t="n">
        <v>4</v>
      </c>
      <c r="J3" s="106" t="n">
        <v>0</v>
      </c>
      <c r="K3" s="106" t="n">
        <v>2</v>
      </c>
      <c r="L3" s="106" t="n">
        <v>10</v>
      </c>
      <c r="M3" s="106" t="n">
        <v>2</v>
      </c>
      <c r="N3" s="106" t="n">
        <v>0</v>
      </c>
      <c r="O3" s="106" t="n">
        <v>10</v>
      </c>
      <c r="P3" s="106" t="n">
        <v>18571.43</v>
      </c>
      <c r="Q3" s="106" t="n">
        <v>1785.71</v>
      </c>
      <c r="R3" s="106" t="n">
        <v>0</v>
      </c>
      <c r="S3" s="106" t="n">
        <v>0</v>
      </c>
      <c r="T3" s="106" t="n">
        <v>20357.14</v>
      </c>
      <c r="U3" s="106" t="n">
        <v>1832.14</v>
      </c>
      <c r="V3" s="106" t="n">
        <v>1832.14</v>
      </c>
      <c r="W3" s="106" t="n">
        <v>0</v>
      </c>
      <c r="X3" s="106" t="n">
        <v>24021.43</v>
      </c>
      <c r="Y3" s="106" t="n">
        <v/>
      </c>
    </row>
    <row r="4">
      <c r="A4" s="107" t="inlineStr">
        <is>
          <t>TOTAL</t>
        </is>
      </c>
      <c r="B4" s="107" t="n"/>
      <c r="C4" s="107" t="n"/>
      <c r="D4" s="107" t="n"/>
      <c r="E4" s="107">
        <f>ROUND(SUM(E2:E3), 0)</f>
        <v/>
      </c>
      <c r="F4" s="107">
        <f>ROUND(SUM(F2:F3), 0)</f>
        <v/>
      </c>
      <c r="G4" s="107">
        <f>ROUND(SUM(G2:G3), 0)</f>
        <v/>
      </c>
      <c r="H4" s="107">
        <f>ROUND(SUM(H2:H3), 0)</f>
        <v/>
      </c>
      <c r="I4" s="107">
        <f>ROUND(SUM(I2:I3), 0)</f>
        <v/>
      </c>
      <c r="J4" s="107">
        <f>ROUND(SUM(J2:J3), 0)</f>
        <v/>
      </c>
      <c r="K4" s="107">
        <f>ROUND(SUM(K2:K3), 0)</f>
        <v/>
      </c>
      <c r="L4" s="107">
        <f>ROUND(SUM(L2:L3), 0)</f>
        <v/>
      </c>
      <c r="M4" s="107">
        <f>ROUND(SUM(M2:M3), 0)</f>
        <v/>
      </c>
      <c r="N4" s="107">
        <f>ROUND(SUM(N2:N3), 0)</f>
        <v/>
      </c>
      <c r="O4" s="107">
        <f>ROUND(SUM(O2:O3), 0)</f>
        <v/>
      </c>
      <c r="P4" s="107">
        <f>ROUND(SUM(P2:P3), 0)</f>
        <v/>
      </c>
      <c r="Q4" s="107">
        <f>ROUND(SUM(Q2:Q3), 0)</f>
        <v/>
      </c>
      <c r="R4" s="107">
        <f>ROUND(SUM(R2:R3), 0)</f>
        <v/>
      </c>
      <c r="S4" s="107">
        <f>ROUND(SUM(S2:S3), 0)</f>
        <v/>
      </c>
      <c r="T4" s="107">
        <f>ROUND(SUM(T2:T3), 0)</f>
        <v/>
      </c>
      <c r="U4" s="107">
        <f>CEILING(SUM(U2:U3), 1)</f>
        <v/>
      </c>
      <c r="V4" s="107">
        <f>CEILING(SUM(V2:V3), 1)</f>
        <v/>
      </c>
      <c r="W4" s="107">
        <f>ROUND(SUM(W2:W3), 0)</f>
        <v/>
      </c>
      <c r="X4" s="107">
        <f>ROUND(SUM(T4,U4,V4,W4), 0)</f>
        <v/>
      </c>
      <c r="Y4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2026-02-28T09:08:09Z</dcterms:modified>
  <cp:lastModifiedBy>Kanishk Maheshwari</cp:lastModifiedBy>
  <cp:lastPrinted>2026-02-04T12:24:29Z</cp:lastPrinted>
</cp:coreProperties>
</file>