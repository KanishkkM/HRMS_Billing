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Anil Agarwal jobuss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dd\-mm\-yyyy"/>
    <numFmt numFmtId="165" formatCode="_(* #,##0_);_(* \(#,##0\);_(* &quot;-&quot;??_);_(@_)"/>
    <numFmt numFmtId="166" formatCode="_ * #,##0_ ;_ * \-#,##0_ ;_ * &quot;-&quot;??_ ;_ @_ "/>
  </numFmts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000000"/>
      <sz val="10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9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6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5" pivotButton="0" quotePrefix="0" xfId="0"/>
    <xf numFmtId="0" fontId="10" fillId="0" borderId="0" pivotButton="0" quotePrefix="0" xfId="0"/>
    <xf numFmtId="0" fontId="8" fillId="0" borderId="12" pivotButton="0" quotePrefix="0" xfId="0"/>
    <xf numFmtId="164" fontId="8" fillId="0" borderId="0" applyAlignment="1" pivotButton="0" quotePrefix="0" xfId="0">
      <alignment horizontal="left"/>
    </xf>
    <xf numFmtId="0" fontId="8" fillId="0" borderId="5" pivotButton="0" quotePrefix="0" xfId="0"/>
    <xf numFmtId="0" fontId="2" fillId="0" borderId="0" applyAlignment="1" pivotButton="0" quotePrefix="0" xfId="0">
      <alignment horizontal="left"/>
    </xf>
    <xf numFmtId="0" fontId="2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center"/>
    </xf>
    <xf numFmtId="165" fontId="1" fillId="0" borderId="0" pivotButton="0" quotePrefix="0" xfId="2"/>
    <xf numFmtId="0" fontId="11" fillId="0" borderId="1" pivotButton="0" quotePrefix="0" xfId="0"/>
    <xf numFmtId="0" fontId="11" fillId="0" borderId="2" pivotButton="0" quotePrefix="0" xfId="0"/>
    <xf numFmtId="0" fontId="11" fillId="0" borderId="3" pivotButton="0" quotePrefix="0" xfId="0"/>
    <xf numFmtId="0" fontId="0" fillId="0" borderId="3" pivotButton="0" quotePrefix="0" xfId="0"/>
    <xf numFmtId="165" fontId="14" fillId="0" borderId="18" applyAlignment="1" pivotButton="0" quotePrefix="0" xfId="2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11" pivotButton="0" quotePrefix="0" xfId="0"/>
    <xf numFmtId="0" fontId="14" fillId="0" borderId="4" applyAlignment="1" pivotButton="0" quotePrefix="0" xfId="0">
      <alignment horizontal="left" wrapText="1"/>
    </xf>
    <xf numFmtId="0" fontId="14" fillId="0" borderId="0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165" fontId="14" fillId="0" borderId="5" applyAlignment="1" pivotButton="0" quotePrefix="0" xfId="2">
      <alignment horizontal="center" vertical="center"/>
    </xf>
    <xf numFmtId="0" fontId="0" fillId="0" borderId="4" pivotButton="0" quotePrefix="0" xfId="0"/>
    <xf numFmtId="0" fontId="15" fillId="0" borderId="4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8" fillId="0" borderId="7" applyAlignment="1" pivotButton="0" quotePrefix="0" xfId="0">
      <alignment vertical="center"/>
    </xf>
    <xf numFmtId="0" fontId="7" fillId="0" borderId="8" applyAlignment="1" pivotButton="0" quotePrefix="0" xfId="0">
      <alignment horizontal="left"/>
    </xf>
    <xf numFmtId="0" fontId="7" fillId="0" borderId="9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8" fillId="0" borderId="4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2" fillId="0" borderId="4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12" fillId="0" borderId="6" applyAlignment="1" pivotButton="0" quotePrefix="0" xfId="0">
      <alignment horizontal="left" vertical="center" wrapText="1"/>
    </xf>
    <xf numFmtId="0" fontId="12" fillId="0" borderId="7" applyAlignment="1" pivotButton="0" quotePrefix="0" xfId="0">
      <alignment horizontal="left" vertical="center" wrapText="1"/>
    </xf>
    <xf numFmtId="0" fontId="12" fillId="0" borderId="11" applyAlignment="1" pivotButton="0" quotePrefix="0" xfId="0">
      <alignment horizontal="left" vertical="center" wrapText="1"/>
    </xf>
    <xf numFmtId="0" fontId="12" fillId="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5" applyAlignment="1" pivotButton="0" quotePrefix="0" xfId="0">
      <alignment horizontal="left" vertical="center" wrapText="1"/>
    </xf>
    <xf numFmtId="0" fontId="12" fillId="0" borderId="14" applyAlignment="1" pivotButton="0" quotePrefix="0" xfId="0">
      <alignment horizontal="left" vertical="center" wrapText="1"/>
    </xf>
    <xf numFmtId="0" fontId="12" fillId="0" borderId="15" applyAlignment="1" pivotButton="0" quotePrefix="0" xfId="0">
      <alignment horizontal="left" vertical="center" wrapText="1"/>
    </xf>
    <xf numFmtId="0" fontId="12" fillId="0" borderId="16" applyAlignment="1" pivotButton="0" quotePrefix="0" xfId="0">
      <alignment horizontal="left" vertical="center" wrapText="1"/>
    </xf>
    <xf numFmtId="165" fontId="13" fillId="0" borderId="13" applyAlignment="1" pivotButton="0" quotePrefix="0" xfId="2">
      <alignment horizontal="center" vertical="center"/>
    </xf>
    <xf numFmtId="165" fontId="13" fillId="0" borderId="17" applyAlignment="1" pivotButton="0" quotePrefix="0" xfId="2">
      <alignment horizontal="center" vertical="center"/>
    </xf>
    <xf numFmtId="0" fontId="14" fillId="0" borderId="18" applyAlignment="1" pivotButton="0" quotePrefix="0" xfId="0">
      <alignment horizontal="left"/>
    </xf>
    <xf numFmtId="166" fontId="14" fillId="0" borderId="19" applyAlignment="1" pivotButton="0" quotePrefix="0" xfId="1">
      <alignment horizontal="center" vertical="center"/>
    </xf>
    <xf numFmtId="166" fontId="14" fillId="0" borderId="13" applyAlignment="1" pivotButton="0" quotePrefix="0" xfId="1">
      <alignment horizontal="center" vertical="center"/>
    </xf>
    <xf numFmtId="166" fontId="14" fillId="0" borderId="20" applyAlignment="1" pivotButton="0" quotePrefix="0" xfId="1">
      <alignment horizontal="center" vertical="center"/>
    </xf>
    <xf numFmtId="0" fontId="14" fillId="0" borderId="0" applyAlignment="1" pivotButton="0" quotePrefix="0" xfId="0">
      <alignment horizontal="center"/>
    </xf>
    <xf numFmtId="0" fontId="14" fillId="0" borderId="5" applyAlignment="1" pivotButton="0" quotePrefix="0" xfId="0">
      <alignment horizontal="center"/>
    </xf>
    <xf numFmtId="0" fontId="15" fillId="0" borderId="4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  <xf numFmtId="0" fontId="15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5" applyAlignment="1" pivotButton="0" quotePrefix="1" xfId="0">
      <alignment horizontal="center"/>
    </xf>
    <xf numFmtId="1" fontId="0" fillId="0" borderId="16" applyAlignment="1" pivotButton="0" quotePrefix="0" xfId="0">
      <alignment horizontal="center"/>
    </xf>
    <xf numFmtId="0" fontId="8" fillId="0" borderId="12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0" fillId="0" borderId="2" pivotButton="0" quotePrefix="0" xfId="0"/>
    <xf numFmtId="0" fontId="5" fillId="2" borderId="21" applyAlignment="1" pivotButton="0" quotePrefix="0" xfId="0">
      <alignment horizontal="right"/>
    </xf>
    <xf numFmtId="0" fontId="6" fillId="0" borderId="21" applyAlignment="1" pivotButton="0" quotePrefix="0" xfId="0">
      <alignment horizontal="center"/>
    </xf>
    <xf numFmtId="0" fontId="2" fillId="0" borderId="21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0" fillId="0" borderId="9" pivotButton="0" quotePrefix="0" xfId="0"/>
    <xf numFmtId="0" fontId="0" fillId="0" borderId="10" pivotButton="0" quotePrefix="0" xfId="0"/>
    <xf numFmtId="0" fontId="7" fillId="0" borderId="13" applyAlignment="1" pivotButton="0" quotePrefix="0" xfId="0">
      <alignment horizontal="left"/>
    </xf>
    <xf numFmtId="0" fontId="8" fillId="0" borderId="13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/>
    </xf>
    <xf numFmtId="0" fontId="8" fillId="0" borderId="13" applyAlignment="1" pivotButton="0" quotePrefix="0" xfId="0">
      <alignment horizontal="left"/>
    </xf>
    <xf numFmtId="165" fontId="1" fillId="0" borderId="0" pivotButton="0" quotePrefix="0" xfId="2"/>
    <xf numFmtId="0" fontId="12" fillId="0" borderId="21" applyAlignment="1" pivotButton="0" quotePrefix="0" xfId="0">
      <alignment horizontal="left" vertical="center" wrapText="1"/>
    </xf>
    <xf numFmtId="165" fontId="13" fillId="0" borderId="17" applyAlignment="1" pivotButton="0" quotePrefix="0" xfId="2">
      <alignment horizontal="center" vertical="center"/>
    </xf>
    <xf numFmtId="0" fontId="0" fillId="0" borderId="13" pivotButton="0" quotePrefix="0" xfId="0"/>
    <xf numFmtId="0" fontId="0" fillId="0" borderId="17" pivotButton="0" quotePrefix="0" xfId="0"/>
    <xf numFmtId="0" fontId="0" fillId="0" borderId="22" pivotButton="0" quotePrefix="0" xfId="0"/>
    <xf numFmtId="0" fontId="0" fillId="0" borderId="23" pivotButton="0" quotePrefix="0" xfId="0"/>
    <xf numFmtId="165" fontId="14" fillId="0" borderId="18" applyAlignment="1" pivotButton="0" quotePrefix="0" xfId="2">
      <alignment horizontal="center" vertical="center"/>
    </xf>
    <xf numFmtId="166" fontId="14" fillId="0" borderId="24" applyAlignment="1" pivotButton="0" quotePrefix="0" xfId="1">
      <alignment horizontal="center" vertical="center"/>
    </xf>
    <xf numFmtId="0" fontId="0" fillId="0" borderId="20" pivotButton="0" quotePrefix="0" xfId="0"/>
    <xf numFmtId="165" fontId="14" fillId="0" borderId="5" applyAlignment="1" pivotButton="0" quotePrefix="0" xfId="2">
      <alignment horizontal="center" vertical="center"/>
    </xf>
    <xf numFmtId="0" fontId="2" fillId="0" borderId="21" pivotButton="0" quotePrefix="0" xfId="0"/>
    <xf numFmtId="1" fontId="0" fillId="0" borderId="5" applyAlignment="1" pivotButton="0" quotePrefix="1" xfId="0">
      <alignment horizontal="center"/>
    </xf>
    <xf numFmtId="1" fontId="0" fillId="0" borderId="16" applyAlignment="1" pivotButton="0" quotePrefix="1" xfId="0">
      <alignment horizontal="center"/>
    </xf>
    <xf numFmtId="0" fontId="15" fillId="0" borderId="13" applyAlignment="1" pivotButton="0" quotePrefix="0" xfId="0">
      <alignment horizontal="left" vertical="top" wrapText="1"/>
    </xf>
    <xf numFmtId="0" fontId="18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8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" xfId="1" builtinId="3"/>
    <cellStyle name="Comma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1.png" Id="rId1" /><Relationship Type="http://schemas.openxmlformats.org/officeDocument/2006/relationships/image" Target="/xl/media/image1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394335</colOff>
      <row>44</row>
      <rowOff>106680</rowOff>
    </from>
    <to>
      <col>5</col>
      <colOff>506730</colOff>
      <row>51</row>
      <rowOff>110490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772535" y="9384030"/>
          <a:ext cx="1364615" cy="130556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1059815</colOff>
      <row>50</row>
      <rowOff>149860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544310" y="9789160"/>
          <a:ext cx="1670685" cy="7556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394335</colOff>
      <row>44</row>
      <rowOff>106680</rowOff>
    </from>
    <to>
      <col>5</col>
      <colOff>514350</colOff>
      <row>51</row>
      <rowOff>110490</rowOff>
    </to>
    <pic>
      <nvPicPr>
        <cNvPr id="6" name="Picture 5"/>
        <cNvPicPr>
          <a:picLocks noChangeAspect="1" noChangeArrowheads="1"/>
        </cNvPicPr>
      </nvPicPr>
      <blipFill>
        <a:blip r:embed="rId3"/>
        <a:srcRect/>
        <a:stretch>
          <a:fillRect/>
        </a:stretch>
      </blipFill>
      <spPr bwMode="auto">
        <a:xfrm>
          <a:off x="3716655" y="9364980"/>
          <a:ext cx="1346835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1052195</colOff>
      <row>50</row>
      <rowOff>149860</rowOff>
    </to>
    <pic>
      <nvPicPr>
        <cNvPr id="7" name="Picture 6"/>
        <cNvPicPr>
          <a:picLocks noChangeAspect="1"/>
        </cNvPicPr>
      </nvPicPr>
      <blipFill>
        <a:blip r:embed="rId4"/>
        <a:srcRect/>
        <a:stretch>
          <a:fillRect/>
        </a:stretch>
      </blipFill>
      <spPr bwMode="auto">
        <a:xfrm>
          <a:off x="6449060" y="9770110"/>
          <a:ext cx="163639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394335</colOff>
      <row>44</row>
      <rowOff>106680</rowOff>
    </from>
    <to>
      <col>5</col>
      <colOff>514350</colOff>
      <row>51</row>
      <rowOff>110490</rowOff>
    </to>
    <pic>
      <nvPicPr>
        <cNvPr id="9" name="Picture 8"/>
        <cNvPicPr>
          <a:picLocks noChangeAspect="1" noChangeArrowheads="1"/>
        </cNvPicPr>
      </nvPicPr>
      <blipFill>
        <a:blip r:embed="rId5"/>
        <a:srcRect/>
        <a:stretch>
          <a:fillRect/>
        </a:stretch>
      </blipFill>
      <spPr bwMode="auto">
        <a:xfrm>
          <a:off x="3716655" y="9364980"/>
          <a:ext cx="1346835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1052195</colOff>
      <row>50</row>
      <rowOff>149860</rowOff>
    </to>
    <pic>
      <nvPicPr>
        <cNvPr id="10" name="Picture 9"/>
        <cNvPicPr>
          <a:picLocks noChangeAspect="1"/>
        </cNvPicPr>
      </nvPicPr>
      <blipFill>
        <a:blip r:embed="rId6"/>
        <a:srcRect/>
        <a:stretch>
          <a:fillRect/>
        </a:stretch>
      </blipFill>
      <spPr bwMode="auto">
        <a:xfrm>
          <a:off x="6449060" y="9770110"/>
          <a:ext cx="163639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394335</colOff>
      <row>44</row>
      <rowOff>106680</rowOff>
    </from>
    <to>
      <col>5</col>
      <colOff>514350</colOff>
      <row>51</row>
      <rowOff>110490</rowOff>
    </to>
    <pic>
      <nvPicPr>
        <cNvPr id="12" name="Picture 11"/>
        <cNvPicPr>
          <a:picLocks noChangeAspect="1" noChangeArrowheads="1"/>
        </cNvPicPr>
      </nvPicPr>
      <blipFill>
        <a:blip r:embed="rId7"/>
        <a:srcRect/>
        <a:stretch>
          <a:fillRect/>
        </a:stretch>
      </blipFill>
      <spPr bwMode="auto">
        <a:xfrm>
          <a:off x="3716655" y="9364980"/>
          <a:ext cx="1346835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1052195</colOff>
      <row>50</row>
      <rowOff>149860</rowOff>
    </to>
    <pic>
      <nvPicPr>
        <cNvPr id="13" name="Picture 12"/>
        <cNvPicPr>
          <a:picLocks noChangeAspect="1"/>
        </cNvPicPr>
      </nvPicPr>
      <blipFill>
        <a:blip r:embed="rId8"/>
        <a:srcRect/>
        <a:stretch>
          <a:fillRect/>
        </a:stretch>
      </blipFill>
      <spPr bwMode="auto">
        <a:xfrm>
          <a:off x="6449060" y="9770110"/>
          <a:ext cx="163639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394335</colOff>
      <row>44</row>
      <rowOff>106680</rowOff>
    </from>
    <to>
      <col>5</col>
      <colOff>514350</colOff>
      <row>51</row>
      <rowOff>110490</rowOff>
    </to>
    <pic>
      <nvPicPr>
        <cNvPr id="15" name="Picture 14"/>
        <cNvPicPr>
          <a:picLocks noChangeAspect="1" noChangeArrowheads="1"/>
        </cNvPicPr>
      </nvPicPr>
      <blipFill>
        <a:blip r:embed="rId9"/>
        <a:srcRect/>
        <a:stretch>
          <a:fillRect/>
        </a:stretch>
      </blipFill>
      <spPr bwMode="auto">
        <a:xfrm>
          <a:off x="3716655" y="9364980"/>
          <a:ext cx="1346835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1052195</colOff>
      <row>50</row>
      <rowOff>149860</rowOff>
    </to>
    <pic>
      <nvPicPr>
        <cNvPr id="16" name="Picture 15"/>
        <cNvPicPr>
          <a:picLocks noChangeAspect="1"/>
        </cNvPicPr>
      </nvPicPr>
      <blipFill>
        <a:blip r:embed="rId10"/>
        <a:srcRect/>
        <a:stretch>
          <a:fillRect/>
        </a:stretch>
      </blipFill>
      <spPr bwMode="auto">
        <a:xfrm>
          <a:off x="6449060" y="9770110"/>
          <a:ext cx="163639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8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8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codeName="Sheet22">
    <outlinePr summaryBelow="1" summaryRight="1"/>
    <pageSetUpPr fitToPage="1"/>
  </sheetPr>
  <dimension ref="A2:K67"/>
  <sheetViews>
    <sheetView tabSelected="1" topLeftCell="A23" zoomScale="70" zoomScaleNormal="70" workbookViewId="0">
      <selection activeCell="B24" sqref="B24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109375" customWidth="1" min="6" max="6"/>
    <col width="23.109375" customWidth="1" min="7" max="7"/>
    <col width="26.88671875" customWidth="1" min="8" max="8"/>
    <col width="10.88671875" bestFit="1" customWidth="1" min="11" max="11"/>
  </cols>
  <sheetData>
    <row r="1" ht="15" customHeight="1" thickBot="1"/>
    <row r="2" ht="89.25" customHeight="1" thickBot="1">
      <c r="A2" s="43" t="inlineStr">
        <is>
          <t>Jobuss Resources Pvt Ltd.</t>
        </is>
      </c>
      <c r="B2" s="100" t="n"/>
      <c r="C2" s="100" t="n"/>
      <c r="D2" s="100" t="n"/>
      <c r="E2" s="100" t="n"/>
      <c r="F2" s="46" t="n"/>
      <c r="G2" s="100" t="n"/>
      <c r="H2" s="25" t="n"/>
    </row>
    <row r="3" ht="17.4" customHeight="1" thickBot="1">
      <c r="A3" s="101" t="inlineStr">
        <is>
          <t>Private Limited</t>
        </is>
      </c>
      <c r="B3" s="100" t="n"/>
      <c r="C3" s="100" t="n"/>
      <c r="D3" s="100" t="n"/>
      <c r="E3" s="100" t="n"/>
      <c r="F3" s="100" t="n"/>
      <c r="G3" s="100" t="n"/>
      <c r="H3" s="25" t="n"/>
    </row>
    <row r="4" ht="15" customHeight="1" thickBot="1">
      <c r="A4" s="102" t="inlineStr">
        <is>
          <t>Add:- -1106, Sureshwari Techno IT Park, Eskay Resort, Borivali West Mumbai- 400092</t>
        </is>
      </c>
      <c r="B4" s="100" t="n"/>
      <c r="C4" s="100" t="n"/>
      <c r="D4" s="100" t="n"/>
      <c r="E4" s="100" t="n"/>
      <c r="F4" s="100" t="n"/>
      <c r="G4" s="100" t="n"/>
      <c r="H4" s="25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103" t="inlineStr">
        <is>
          <t>Original For Recepient</t>
        </is>
      </c>
      <c r="B6" s="100" t="n"/>
      <c r="C6" s="100" t="n"/>
      <c r="D6" s="100" t="n"/>
      <c r="E6" s="100" t="n"/>
      <c r="F6" s="100" t="n"/>
      <c r="G6" s="100" t="n"/>
      <c r="H6" s="25" t="n"/>
    </row>
    <row r="7" ht="15" customHeight="1" thickTop="1">
      <c r="A7" s="104" t="inlineStr">
        <is>
          <t>Reliance Industries Limited</t>
        </is>
      </c>
      <c r="B7" s="105" t="n"/>
      <c r="C7" s="105" t="n"/>
      <c r="D7" s="105" t="n"/>
      <c r="E7" s="106" t="n"/>
      <c r="F7" s="4" t="inlineStr">
        <is>
          <t xml:space="preserve">Bill No. : </t>
        </is>
      </c>
      <c r="G7" s="39" t="n"/>
      <c r="H7" s="5" t="n"/>
    </row>
    <row r="8">
      <c r="A8" s="107" t="inlineStr">
        <is>
          <t>5, TTC Industrial Area,</t>
        </is>
      </c>
      <c r="E8" s="19" t="n"/>
      <c r="F8" s="108" t="inlineStr">
        <is>
          <t>PAN: AAECJ2353C</t>
        </is>
      </c>
      <c r="H8" s="19" t="n"/>
      <c r="I8" t="inlineStr">
        <is>
          <t>     </t>
        </is>
      </c>
    </row>
    <row r="9">
      <c r="A9" s="107" t="inlineStr">
        <is>
          <t>Reliance Corporate Park,</t>
        </is>
      </c>
      <c r="E9" s="19" t="n"/>
      <c r="F9" s="108" t="inlineStr">
        <is>
          <t>GST No:  27AAECJ2353C1ZX</t>
        </is>
      </c>
      <c r="H9" s="19" t="n"/>
      <c r="I9" s="8" t="n"/>
    </row>
    <row r="10">
      <c r="A10" s="107" t="inlineStr">
        <is>
          <t>Thane-Belapur Road, Ghansoli, Navi Mumbai 400701</t>
        </is>
      </c>
      <c r="E10" s="19" t="n"/>
      <c r="F10" s="108" t="inlineStr">
        <is>
          <t>PF No.- KDMAL1720777000</t>
        </is>
      </c>
      <c r="H10" s="19" t="n"/>
      <c r="I10" s="8" t="n"/>
    </row>
    <row r="11">
      <c r="A11" s="9" t="inlineStr">
        <is>
          <t>GST NO:</t>
        </is>
      </c>
      <c r="B11" s="10" t="inlineStr">
        <is>
          <t>27AAACR5055K1Z7</t>
        </is>
      </c>
      <c r="C11" s="11" t="n"/>
      <c r="D11" s="11" t="n"/>
      <c r="E11" s="12" t="n"/>
      <c r="F11" s="108" t="inlineStr">
        <is>
          <t>ESIC No.- 35000427980001001</t>
        </is>
      </c>
      <c r="H11" s="19" t="n"/>
      <c r="I11" s="8" t="n"/>
    </row>
    <row r="12">
      <c r="A12" s="9" t="inlineStr">
        <is>
          <t xml:space="preserve">PAN:  </t>
        </is>
      </c>
      <c r="B12" s="13" t="inlineStr">
        <is>
          <t xml:space="preserve"> AAACR5055K</t>
        </is>
      </c>
      <c r="C12" s="11" t="n"/>
      <c r="D12" s="11" t="n"/>
      <c r="E12" s="12" t="n"/>
      <c r="F12" s="14" t="inlineStr">
        <is>
          <t xml:space="preserve">Bill Date :  </t>
        </is>
      </c>
      <c r="G12" s="109" t="n"/>
      <c r="H12" s="16" t="n"/>
    </row>
    <row r="13">
      <c r="A13" s="9" t="inlineStr">
        <is>
          <t>Kind Attn:</t>
        </is>
      </c>
      <c r="B13" s="11" t="inlineStr">
        <is>
          <t xml:space="preserve"> Mr. Anil Agarwal</t>
        </is>
      </c>
      <c r="C13" s="11" t="n"/>
      <c r="D13" s="11" t="n"/>
      <c r="E13" s="12" t="n"/>
      <c r="F13" s="97" t="inlineStr">
        <is>
          <t>Due Date:</t>
        </is>
      </c>
      <c r="G13" s="98" t="n"/>
      <c r="H13" s="99" t="n"/>
    </row>
    <row r="14">
      <c r="A14" s="66" t="inlineStr">
        <is>
          <t>Place of Service: Navi Mumbai</t>
        </is>
      </c>
      <c r="D14" s="58" t="n"/>
      <c r="E14" s="59" t="n"/>
      <c r="F14" s="110" t="inlineStr">
        <is>
          <t>SAC Code:  998513 (Contract Staffing Services)</t>
        </is>
      </c>
      <c r="H14" s="19" t="n"/>
    </row>
    <row r="15" ht="15" customHeight="1" thickBot="1">
      <c r="A15" s="107" t="n"/>
      <c r="E15" s="19" t="n"/>
      <c r="F15" s="18" t="inlineStr">
        <is>
          <t xml:space="preserve">Vendor Code: </t>
        </is>
      </c>
      <c r="G15" s="67" t="n">
        <v>3347687</v>
      </c>
      <c r="H15" s="19" t="n"/>
      <c r="I15" s="20" t="n"/>
      <c r="K15" s="111" t="n"/>
    </row>
    <row r="16" ht="18.6" customHeight="1" thickBot="1">
      <c r="A16" s="22" t="inlineStr">
        <is>
          <t>Work Order :540034732</t>
        </is>
      </c>
      <c r="B16" s="23" t="n"/>
      <c r="C16" s="23" t="n"/>
      <c r="D16" s="23" t="n"/>
      <c r="E16" s="24" t="n"/>
      <c r="F16" s="63" t="n"/>
      <c r="G16" s="100" t="n"/>
      <c r="H16" s="25" t="n"/>
    </row>
    <row r="17" ht="16.5" customHeight="1">
      <c r="A17" s="112" t="inlineStr">
        <is>
          <t>Contract staffing services for Assistance in Various Department Period:</t>
        </is>
      </c>
      <c r="B17" s="28" t="n"/>
      <c r="C17" s="28" t="n"/>
      <c r="D17" s="28" t="n"/>
      <c r="E17" s="28" t="n"/>
      <c r="F17" s="28" t="n"/>
      <c r="G17" s="29" t="n"/>
      <c r="H17" s="113" t="n"/>
    </row>
    <row r="18">
      <c r="A18" s="36" t="n"/>
      <c r="G18" s="19" t="n"/>
      <c r="H18" s="114" t="n"/>
    </row>
    <row r="19">
      <c r="A19" s="36" t="n"/>
      <c r="G19" s="19" t="n"/>
      <c r="H19" s="114" t="n"/>
    </row>
    <row r="20" ht="15" customHeight="1" thickBot="1">
      <c r="A20" s="32" t="n"/>
      <c r="B20" s="33" t="n"/>
      <c r="C20" s="33" t="n"/>
      <c r="D20" s="33" t="n"/>
      <c r="E20" s="33" t="n"/>
      <c r="F20" s="33" t="n"/>
      <c r="G20" s="34" t="n"/>
      <c r="H20" s="115" t="n"/>
    </row>
    <row r="21" ht="15.6" customHeight="1">
      <c r="A21" s="82" t="inlineStr">
        <is>
          <t>Add : CGST @ 9%</t>
        </is>
      </c>
      <c r="B21" s="116" t="n"/>
      <c r="C21" s="116" t="n"/>
      <c r="D21" s="116" t="n"/>
      <c r="E21" s="116" t="n"/>
      <c r="F21" s="116" t="n"/>
      <c r="G21" s="117" t="n"/>
      <c r="H21" s="118">
        <f>H17*9%</f>
        <v/>
      </c>
    </row>
    <row r="22" ht="16.2" customHeight="1" thickBot="1">
      <c r="A22" s="82" t="inlineStr">
        <is>
          <t>Add : SGST @ 9%</t>
        </is>
      </c>
      <c r="B22" s="116" t="n"/>
      <c r="C22" s="116" t="n"/>
      <c r="D22" s="116" t="n"/>
      <c r="E22" s="116" t="n"/>
      <c r="F22" s="116" t="n"/>
      <c r="G22" s="117" t="n"/>
      <c r="H22" s="118">
        <f>H17*9%</f>
        <v/>
      </c>
    </row>
    <row r="23">
      <c r="A23" s="27" t="n"/>
      <c r="B23" s="28" t="n"/>
      <c r="C23" s="28" t="n"/>
      <c r="D23" s="28" t="n"/>
      <c r="E23" s="28" t="n"/>
      <c r="F23" s="28" t="n"/>
      <c r="G23" s="29" t="n"/>
      <c r="H23" s="119">
        <f>H17+H21+H22</f>
        <v/>
      </c>
    </row>
    <row r="24" ht="15.6" customHeight="1">
      <c r="A24" s="30" t="inlineStr">
        <is>
          <t>Rupees:</t>
        </is>
      </c>
      <c r="B24" s="31" t="n"/>
      <c r="G24" s="19" t="n"/>
      <c r="H24" s="114" t="n"/>
    </row>
    <row r="25" ht="15" customHeight="1" thickBot="1">
      <c r="A25" s="32" t="n"/>
      <c r="B25" s="33" t="n"/>
      <c r="C25" s="33" t="n"/>
      <c r="D25" s="33" t="n"/>
      <c r="E25" s="33" t="n"/>
      <c r="F25" s="33" t="n"/>
      <c r="G25" s="34" t="n"/>
      <c r="H25" s="120" t="n"/>
    </row>
    <row r="26" ht="15.6" customHeight="1">
      <c r="A26" s="30" t="n"/>
      <c r="B26" s="31" t="n"/>
      <c r="H26" s="121" t="n"/>
    </row>
    <row r="27">
      <c r="A27" s="36" t="n"/>
      <c r="H27" s="19" t="n"/>
    </row>
    <row r="28">
      <c r="A28" s="36" t="n"/>
      <c r="H28" s="19" t="n"/>
    </row>
    <row r="29">
      <c r="A29" s="36" t="n"/>
      <c r="H29" s="19" t="n"/>
    </row>
    <row r="30">
      <c r="A30" s="36" t="n"/>
      <c r="H30" s="19" t="n"/>
    </row>
    <row r="31">
      <c r="A31" s="36" t="n"/>
      <c r="H31" s="19" t="n"/>
    </row>
    <row r="32" ht="15" customHeight="1" thickBot="1">
      <c r="A32" s="36" t="n"/>
      <c r="H32" s="19" t="n"/>
    </row>
    <row r="33" ht="15" customHeight="1" thickBot="1">
      <c r="A33" s="122" t="inlineStr">
        <is>
          <t>Bank Details:</t>
        </is>
      </c>
      <c r="B33" s="100" t="n"/>
      <c r="C33" s="25" t="n"/>
      <c r="H33" s="19" t="n"/>
    </row>
    <row r="34">
      <c r="A34" s="36" t="inlineStr">
        <is>
          <t>Name:</t>
        </is>
      </c>
      <c r="B34" s="92" t="inlineStr">
        <is>
          <t>Jobuss Resources Pvt. Ltd.</t>
        </is>
      </c>
      <c r="C34" s="19" t="n"/>
      <c r="H34" s="19" t="n"/>
    </row>
    <row r="35">
      <c r="A35" s="36" t="inlineStr">
        <is>
          <t>Bank Name:</t>
        </is>
      </c>
      <c r="B35" s="92" t="inlineStr">
        <is>
          <t>ICICI Bank</t>
        </is>
      </c>
      <c r="C35" s="19" t="n"/>
      <c r="H35" s="19" t="n"/>
    </row>
    <row r="36">
      <c r="A36" s="36" t="inlineStr">
        <is>
          <t>A/c No.:</t>
        </is>
      </c>
      <c r="B36" s="123" t="inlineStr">
        <is>
          <t>120905000960</t>
        </is>
      </c>
      <c r="C36" s="19" t="n"/>
      <c r="H36" s="19" t="n"/>
    </row>
    <row r="37">
      <c r="A37" s="36" t="inlineStr">
        <is>
          <t>IFSC Code:</t>
        </is>
      </c>
      <c r="B37" s="92" t="inlineStr">
        <is>
          <t>ICIC0001209</t>
        </is>
      </c>
      <c r="C37" s="19" t="n"/>
      <c r="H37" s="19" t="n"/>
    </row>
    <row r="38" ht="15" customHeight="1" thickBot="1">
      <c r="A38" s="32" t="inlineStr">
        <is>
          <t>MICR No:</t>
        </is>
      </c>
      <c r="B38" s="124" t="inlineStr">
        <is>
          <t>400229195</t>
        </is>
      </c>
      <c r="C38" s="34" t="n"/>
      <c r="H38" s="19" t="n"/>
    </row>
    <row r="39">
      <c r="A39" s="36" t="n"/>
      <c r="H39" s="19" t="n"/>
    </row>
    <row r="40">
      <c r="A40" s="36" t="n"/>
      <c r="H40" s="19" t="n"/>
    </row>
    <row r="41">
      <c r="A41" s="36" t="n"/>
      <c r="H41" s="19" t="n"/>
    </row>
    <row r="42">
      <c r="A42" s="36" t="n"/>
      <c r="H42" s="19" t="n"/>
    </row>
    <row r="43">
      <c r="A43" s="36" t="n"/>
      <c r="H43" s="19" t="n"/>
    </row>
    <row r="44">
      <c r="A44" s="36" t="n"/>
      <c r="H44" s="19" t="n"/>
    </row>
    <row r="45" ht="15.6" customHeight="1">
      <c r="A45" s="36" t="n"/>
      <c r="G45" s="87" t="inlineStr">
        <is>
          <t xml:space="preserve">    For Jobuss Resources Pvt. Ltd.</t>
        </is>
      </c>
      <c r="H45" s="19" t="n"/>
    </row>
    <row r="46">
      <c r="A46" s="36" t="n"/>
      <c r="H46" s="19" t="n"/>
    </row>
    <row r="47">
      <c r="A47" s="36" t="n"/>
      <c r="H47" s="19" t="n"/>
    </row>
    <row r="48">
      <c r="A48" s="36" t="n"/>
      <c r="H48" s="19" t="n"/>
    </row>
    <row r="49">
      <c r="A49" s="36" t="n"/>
      <c r="H49" s="19" t="n"/>
    </row>
    <row r="50">
      <c r="A50" s="36" t="n"/>
      <c r="H50" s="19" t="n"/>
    </row>
    <row r="51">
      <c r="A51" s="36" t="n"/>
      <c r="H51" s="19" t="n"/>
    </row>
    <row r="52">
      <c r="A52" s="36" t="n"/>
      <c r="H52" s="19" t="n"/>
    </row>
    <row r="53" ht="15.6" customHeight="1">
      <c r="A53" s="36" t="n"/>
      <c r="G53" s="87" t="inlineStr">
        <is>
          <t xml:space="preserve">            Authorized Signatory</t>
        </is>
      </c>
      <c r="H53" s="19" t="n"/>
    </row>
    <row r="54" ht="15.6" customHeight="1">
      <c r="A54" s="36" t="n"/>
      <c r="G54" s="31" t="n"/>
      <c r="H54" s="19" t="n"/>
    </row>
    <row r="55" ht="15.6" customHeight="1">
      <c r="A55" s="36" t="n"/>
      <c r="G55" s="31" t="n"/>
      <c r="H55" s="19" t="n"/>
    </row>
    <row r="56" ht="15.6" customHeight="1">
      <c r="A56" s="36" t="n"/>
      <c r="G56" s="31" t="n"/>
      <c r="H56" s="19" t="n"/>
    </row>
    <row r="57" ht="15.6" customHeight="1">
      <c r="A57" s="36" t="n"/>
      <c r="G57" s="31" t="n"/>
      <c r="H57" s="19" t="n"/>
    </row>
    <row r="58" ht="15.6" customHeight="1">
      <c r="A58" s="36" t="n"/>
      <c r="G58" s="31" t="n"/>
      <c r="H58" s="19" t="n"/>
    </row>
    <row r="59" ht="15.6" customHeight="1">
      <c r="A59" s="36" t="n"/>
      <c r="G59" s="31" t="n"/>
      <c r="H59" s="19" t="n"/>
    </row>
    <row r="60" ht="15.6" customHeight="1">
      <c r="A60" s="36" t="n"/>
      <c r="G60" s="31" t="n"/>
      <c r="H60" s="19" t="n"/>
    </row>
    <row r="61" ht="15.6" customHeight="1">
      <c r="A61" s="36" t="n"/>
      <c r="G61" s="31" t="n"/>
      <c r="H61" s="19" t="n"/>
    </row>
    <row r="62" ht="15.6" customHeight="1">
      <c r="A62" s="36" t="n"/>
      <c r="G62" s="31" t="n"/>
      <c r="H62" s="19" t="n"/>
    </row>
    <row r="63">
      <c r="A63" s="36" t="n"/>
      <c r="H63" s="19" t="n"/>
    </row>
    <row r="64" ht="15.6" customHeight="1">
      <c r="A64" s="37" t="inlineStr">
        <is>
          <t>●   Early Remittance is Solicited.</t>
        </is>
      </c>
      <c r="B64" s="38" t="n"/>
      <c r="H64" s="19" t="n"/>
    </row>
    <row r="65" ht="15.75" customHeight="1">
      <c r="A65" s="125" t="inlineStr">
        <is>
          <t xml:space="preserve">  ●   GST No 27AAECJ2353C1ZX &amp; SAC Code 998513 Category: Employment Services including personnel search/referral service &amp; Labour Supply Service. Sub Category: Contract Staffing Services.</t>
        </is>
      </c>
      <c r="H65" s="19" t="n"/>
    </row>
    <row r="66" ht="22.5" customHeight="1">
      <c r="A66" s="36" t="n"/>
      <c r="H66" s="19" t="n"/>
    </row>
    <row r="67" ht="15" customHeight="1" thickBot="1">
      <c r="A67" s="32" t="n"/>
      <c r="B67" s="33" t="n"/>
      <c r="C67" s="33" t="n"/>
      <c r="D67" s="33" t="n"/>
      <c r="E67" s="33" t="n"/>
      <c r="F67" s="33" t="n"/>
      <c r="G67" s="33" t="n"/>
      <c r="H67" s="34" t="n"/>
    </row>
  </sheetData>
  <mergeCells count="31">
    <mergeCell ref="F16:G16"/>
    <mergeCell ref="A15:E15"/>
    <mergeCell ref="A22:G22"/>
    <mergeCell ref="F8:H8"/>
    <mergeCell ref="F2:H2"/>
    <mergeCell ref="A6:H6"/>
    <mergeCell ref="A33:C33"/>
    <mergeCell ref="A7:E7"/>
    <mergeCell ref="A14:C14"/>
    <mergeCell ref="H17:H20"/>
    <mergeCell ref="G53:H53"/>
    <mergeCell ref="F9:H9"/>
    <mergeCell ref="H23:H25"/>
    <mergeCell ref="B38:C38"/>
    <mergeCell ref="A3:H3"/>
    <mergeCell ref="F14:H14"/>
    <mergeCell ref="A2:E2"/>
    <mergeCell ref="B34:C34"/>
    <mergeCell ref="B37:C37"/>
    <mergeCell ref="A17:G20"/>
    <mergeCell ref="G45:H45"/>
    <mergeCell ref="A8:E8"/>
    <mergeCell ref="F11:H11"/>
    <mergeCell ref="A4:H4"/>
    <mergeCell ref="F10:H10"/>
    <mergeCell ref="A21:G21"/>
    <mergeCell ref="A10:E10"/>
    <mergeCell ref="B36:C36"/>
    <mergeCell ref="B35:C35"/>
    <mergeCell ref="A9:E9"/>
    <mergeCell ref="A65:H66"/>
  </mergeCells>
  <pageMargins left="0.7086614173228347" right="0.7086614173228347" top="0.7480314960629921" bottom="0.7480314960629921" header="0.3149606299212598" footer="0.3149606299212598"/>
  <pageSetup orientation="portrait" scale="6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0" customHeight="1">
      <c r="A1" s="126" t="inlineStr">
        <is>
          <t>Kind Attention Person</t>
        </is>
      </c>
      <c r="B1" s="126" t="inlineStr">
        <is>
          <t>Working At</t>
        </is>
      </c>
      <c r="C1" s="126" t="inlineStr">
        <is>
          <t>Employee Code</t>
        </is>
      </c>
      <c r="D1" s="126" t="inlineStr">
        <is>
          <t>Employee Name</t>
        </is>
      </c>
      <c r="E1" s="126" t="inlineStr">
        <is>
          <t>Reporting Person</t>
        </is>
      </c>
      <c r="F1" s="126" t="inlineStr">
        <is>
          <t>Date of Joining</t>
        </is>
      </c>
      <c r="G1" s="126" t="inlineStr">
        <is>
          <t>Position</t>
        </is>
      </c>
      <c r="H1" s="126" t="inlineStr">
        <is>
          <t>Charges</t>
        </is>
      </c>
      <c r="I1" s="126" t="inlineStr">
        <is>
          <t>Total</t>
        </is>
      </c>
      <c r="J1" s="126" t="inlineStr">
        <is>
          <t>CGST @9%</t>
        </is>
      </c>
      <c r="K1" s="126" t="inlineStr">
        <is>
          <t>SGST @9%</t>
        </is>
      </c>
      <c r="L1" s="126" t="inlineStr">
        <is>
          <t>IGST @18%</t>
        </is>
      </c>
      <c r="M1" s="126" t="inlineStr">
        <is>
          <t>Grand Total</t>
        </is>
      </c>
      <c r="N1" s="126" t="inlineStr">
        <is>
          <t>Remark</t>
        </is>
      </c>
    </row>
    <row r="2">
      <c r="A2" s="127" t="inlineStr">
        <is>
          <t>Anil Agarwal</t>
        </is>
      </c>
      <c r="B2" s="127" t="inlineStr">
        <is>
          <t>Reliance Industries Ltd</t>
        </is>
      </c>
      <c r="C2" s="127" t="inlineStr">
        <is>
          <t>JB-10271</t>
        </is>
      </c>
      <c r="D2" s="127" t="inlineStr">
        <is>
          <t>ADITYA VIJAY GURAV</t>
        </is>
      </c>
      <c r="E2" s="127" t="inlineStr">
        <is>
          <t>Jaykumar Golini</t>
        </is>
      </c>
      <c r="F2" s="127" t="inlineStr">
        <is>
          <t>02-02-2026</t>
        </is>
      </c>
      <c r="G2" s="127" t="inlineStr">
        <is>
          <t>Manager</t>
        </is>
      </c>
      <c r="H2" s="127" t="n">
        <v>30000</v>
      </c>
      <c r="I2" s="127" t="n">
        <v>30000</v>
      </c>
      <c r="J2" s="127" t="n">
        <v>2700</v>
      </c>
      <c r="K2" s="127" t="n">
        <v>2700</v>
      </c>
      <c r="L2" s="127" t="n">
        <v>0</v>
      </c>
      <c r="M2" s="127" t="n">
        <v>35400</v>
      </c>
      <c r="N2" s="127" t="inlineStr">
        <is>
          <t>New Joiner</t>
        </is>
      </c>
    </row>
    <row r="3">
      <c r="A3" s="127" t="inlineStr">
        <is>
          <t>Anil Agarwal</t>
        </is>
      </c>
      <c r="B3" s="127" t="inlineStr">
        <is>
          <t>Reliance Industries Ltd</t>
        </is>
      </c>
      <c r="C3" s="127" t="inlineStr">
        <is>
          <t>JB-10273</t>
        </is>
      </c>
      <c r="D3" s="127" t="inlineStr">
        <is>
          <t>KRUTIKA PRADEEP PATIL</t>
        </is>
      </c>
      <c r="E3" s="127" t="inlineStr">
        <is>
          <t>Pavan Kabra</t>
        </is>
      </c>
      <c r="F3" s="127" t="inlineStr">
        <is>
          <t>02-02-2026</t>
        </is>
      </c>
      <c r="G3" s="127" t="inlineStr">
        <is>
          <t>Executive</t>
        </is>
      </c>
      <c r="H3" s="127" t="n">
        <v>15000</v>
      </c>
      <c r="I3" s="127" t="n">
        <v>15000</v>
      </c>
      <c r="J3" s="127" t="n">
        <v>1350</v>
      </c>
      <c r="K3" s="127" t="n">
        <v>1350</v>
      </c>
      <c r="L3" s="127" t="n">
        <v>0</v>
      </c>
      <c r="M3" s="127" t="n">
        <v>17700</v>
      </c>
      <c r="N3" s="127" t="inlineStr">
        <is>
          <t>New Joiner</t>
        </is>
      </c>
    </row>
    <row r="4">
      <c r="A4" s="127" t="inlineStr">
        <is>
          <t>Anil Agarwal</t>
        </is>
      </c>
      <c r="B4" s="127" t="inlineStr">
        <is>
          <t>Reliance Industries Ltd</t>
        </is>
      </c>
      <c r="C4" s="127" t="inlineStr">
        <is>
          <t>JB-10280</t>
        </is>
      </c>
      <c r="D4" s="127" t="inlineStr">
        <is>
          <t>NIKITA LILADHAR BHAVSAR</t>
        </is>
      </c>
      <c r="E4" s="127" t="inlineStr">
        <is>
          <t>Pavan Kabra</t>
        </is>
      </c>
      <c r="F4" s="127" t="inlineStr">
        <is>
          <t>10-02-2026</t>
        </is>
      </c>
      <c r="G4" s="127" t="inlineStr">
        <is>
          <t>Executive</t>
        </is>
      </c>
      <c r="H4" s="127" t="n">
        <v>15000</v>
      </c>
      <c r="I4" s="127" t="n">
        <v>15000</v>
      </c>
      <c r="J4" s="127" t="n">
        <v>1350</v>
      </c>
      <c r="K4" s="127" t="n">
        <v>1350</v>
      </c>
      <c r="L4" s="127" t="n">
        <v>0</v>
      </c>
      <c r="M4" s="127" t="n">
        <v>17700</v>
      </c>
      <c r="N4" s="127" t="inlineStr">
        <is>
          <t>New Joiner</t>
        </is>
      </c>
    </row>
    <row r="5">
      <c r="A5" s="127" t="inlineStr">
        <is>
          <t>Anil Agarwal</t>
        </is>
      </c>
      <c r="B5" s="127" t="inlineStr">
        <is>
          <t>Reliance Industries Ltd</t>
        </is>
      </c>
      <c r="C5" s="127" t="inlineStr">
        <is>
          <t>JB-10282</t>
        </is>
      </c>
      <c r="D5" s="127" t="inlineStr">
        <is>
          <t>SHRADDHA RAJARAM CHAVAN</t>
        </is>
      </c>
      <c r="E5" s="127" t="inlineStr">
        <is>
          <t>Prakash Hale</t>
        </is>
      </c>
      <c r="F5" s="127" t="inlineStr">
        <is>
          <t>02-02-2026</t>
        </is>
      </c>
      <c r="G5" s="127" t="inlineStr">
        <is>
          <t>Executive</t>
        </is>
      </c>
      <c r="H5" s="127" t="n">
        <v>15000</v>
      </c>
      <c r="I5" s="127" t="n">
        <v>15000</v>
      </c>
      <c r="J5" s="127" t="n">
        <v>1350</v>
      </c>
      <c r="K5" s="127" t="n">
        <v>1350</v>
      </c>
      <c r="L5" s="127" t="n">
        <v>0</v>
      </c>
      <c r="M5" s="127" t="n">
        <v>17700</v>
      </c>
      <c r="N5" s="127" t="inlineStr">
        <is>
          <t>New Joiner</t>
        </is>
      </c>
    </row>
    <row r="6">
      <c r="A6" s="128" t="inlineStr">
        <is>
          <t>TOTAL</t>
        </is>
      </c>
      <c r="B6" s="128" t="n"/>
      <c r="C6" s="128" t="n"/>
      <c r="D6" s="128" t="n"/>
      <c r="E6" s="128" t="n"/>
      <c r="F6" s="128" t="n"/>
      <c r="G6" s="128" t="n"/>
      <c r="H6" s="128">
        <f>ROUND(SUM(H2:H5), 0)</f>
        <v/>
      </c>
      <c r="I6" s="128">
        <f>ROUND(SUM(I2:I5), 0)</f>
        <v/>
      </c>
      <c r="J6" s="128">
        <f>CEILING(SUM(J2:J5), 1)</f>
        <v/>
      </c>
      <c r="K6" s="128">
        <f>CEILING(SUM(K2:K5), 1)</f>
        <v/>
      </c>
      <c r="L6" s="128">
        <f>ROUND(SUM(L2:L5), 0)</f>
        <v/>
      </c>
      <c r="M6" s="128">
        <f>ROUND(SUM(I6,J6,K6,L6), 0)</f>
        <v/>
      </c>
      <c r="N6" s="128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2025-10-03T11:36:06Z</dcterms:created>
  <dcterms:modified xsi:type="dcterms:W3CDTF">2026-02-27T06:34:02Z</dcterms:modified>
  <cp:lastModifiedBy>Kanishk Maheshwari</cp:lastModifiedBy>
  <cp:lastPrinted>2025-12-24T08:55:28Z</cp:lastPrinted>
</cp:coreProperties>
</file>