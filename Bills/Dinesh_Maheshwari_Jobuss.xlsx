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11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0" fillId="0" borderId="10" pivotButton="0" quotePrefix="0" xfId="0"/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1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  <xf numFmtId="1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38" t="inlineStr">
        <is>
          <t>Jobuss Resources Pvt Ltd.</t>
        </is>
      </c>
      <c r="B2" s="7" t="n"/>
      <c r="C2" s="7" t="n"/>
      <c r="D2" s="7" t="n"/>
      <c r="E2" s="7" t="n"/>
      <c r="F2" s="41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51" t="inlineStr">
        <is>
          <t>3rd Floor, Unit No. 302, A wing,</t>
        </is>
      </c>
      <c r="B8" s="52" t="n"/>
      <c r="C8" s="52" t="n"/>
      <c r="D8" s="52" t="n"/>
      <c r="E8" s="53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57" t="inlineStr">
        <is>
          <t>Bill Date:</t>
        </is>
      </c>
      <c r="G12" s="58" t="inlineStr">
        <is>
          <t>28-02-2026</t>
        </is>
      </c>
      <c r="H12" s="59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57" t="inlineStr">
        <is>
          <t>Due Date:</t>
        </is>
      </c>
      <c r="G13" s="58" t="inlineStr">
        <is>
          <t>03-03-2026</t>
        </is>
      </c>
      <c r="H13" s="59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77" t="n"/>
      <c r="B16" s="7" t="n"/>
      <c r="C16" s="7" t="n"/>
      <c r="D16" s="7" t="n"/>
      <c r="E16" s="8" t="n"/>
      <c r="F16" s="77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168550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75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15170</v>
      </c>
    </row>
    <row r="22" ht="15.75" customHeight="1" thickBot="1">
      <c r="A22" s="75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15170</v>
      </c>
    </row>
    <row r="23" ht="15" customHeight="1">
      <c r="A23" s="12" t="n"/>
      <c r="H23" s="99" t="n">
        <v>198890</v>
      </c>
    </row>
    <row r="24" ht="16.5" customHeight="1">
      <c r="A24" s="13" t="inlineStr">
        <is>
          <t>Rupees:</t>
        </is>
      </c>
      <c r="B24" s="14" t="inlineStr">
        <is>
          <t>One Lakh, Ninety-Eight Thousand, Eight Hundred And Ninety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80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80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80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6" t="inlineStr">
        <is>
          <t>Kind Attention Person</t>
        </is>
      </c>
      <c r="B1" s="106" t="inlineStr">
        <is>
          <t>Employee Code</t>
        </is>
      </c>
      <c r="C1" s="106" t="inlineStr">
        <is>
          <t>Employee Name</t>
        </is>
      </c>
      <c r="D1" s="106" t="inlineStr">
        <is>
          <t>Billing</t>
        </is>
      </c>
      <c r="E1" s="106" t="inlineStr">
        <is>
          <t>No of days</t>
        </is>
      </c>
      <c r="F1" s="106" t="inlineStr">
        <is>
          <t>Eligible Days</t>
        </is>
      </c>
      <c r="G1" s="106" t="inlineStr">
        <is>
          <t>No of Saturdays</t>
        </is>
      </c>
      <c r="H1" s="106" t="inlineStr">
        <is>
          <t>No of Sundays</t>
        </is>
      </c>
      <c r="I1" s="106" t="inlineStr">
        <is>
          <t>No of Holidays</t>
        </is>
      </c>
      <c r="J1" s="106" t="inlineStr">
        <is>
          <t>Total Present</t>
        </is>
      </c>
      <c r="K1" s="106" t="inlineStr">
        <is>
          <t>Total Working Days</t>
        </is>
      </c>
      <c r="L1" s="106" t="inlineStr">
        <is>
          <t>Absents this Month</t>
        </is>
      </c>
      <c r="M1" s="106" t="inlineStr">
        <is>
          <t>Adjustment of Days</t>
        </is>
      </c>
      <c r="N1" s="106" t="inlineStr">
        <is>
          <t>Total Payable Days</t>
        </is>
      </c>
      <c r="O1" s="106" t="inlineStr">
        <is>
          <t>Total Payable Billing</t>
        </is>
      </c>
      <c r="P1" s="106" t="inlineStr">
        <is>
          <t>Charges</t>
        </is>
      </c>
      <c r="Q1" s="106" t="inlineStr">
        <is>
          <t>Out of Pocket Exp</t>
        </is>
      </c>
      <c r="R1" s="106" t="inlineStr">
        <is>
          <t>Arrears</t>
        </is>
      </c>
      <c r="S1" s="106" t="inlineStr">
        <is>
          <t>Total</t>
        </is>
      </c>
      <c r="T1" s="106" t="inlineStr">
        <is>
          <t>CGST @9%</t>
        </is>
      </c>
      <c r="U1" s="106" t="inlineStr">
        <is>
          <t>SGST @9%</t>
        </is>
      </c>
      <c r="V1" s="106" t="inlineStr">
        <is>
          <t>Grand Total</t>
        </is>
      </c>
      <c r="W1" s="106" t="inlineStr">
        <is>
          <t>Remark</t>
        </is>
      </c>
    </row>
    <row r="2">
      <c r="A2" s="107" t="inlineStr">
        <is>
          <t>Dinesh Maheshwari</t>
        </is>
      </c>
      <c r="B2" s="107" t="inlineStr">
        <is>
          <t>JB-10193</t>
        </is>
      </c>
      <c r="C2" s="107" t="inlineStr">
        <is>
          <t>VIDHYASHREE NARAYANASWAMY</t>
        </is>
      </c>
      <c r="D2" s="108" t="n">
        <v>28600</v>
      </c>
      <c r="E2" s="108" t="n">
        <v>28</v>
      </c>
      <c r="F2" s="108" t="n">
        <v>28</v>
      </c>
      <c r="G2" s="108" t="n">
        <v>4</v>
      </c>
      <c r="H2" s="108" t="n">
        <v>4</v>
      </c>
      <c r="I2" s="108" t="n">
        <v>1</v>
      </c>
      <c r="J2" s="108" t="n">
        <v>19</v>
      </c>
      <c r="K2" s="108" t="n">
        <v>28</v>
      </c>
      <c r="L2" s="108" t="n">
        <v>0</v>
      </c>
      <c r="M2" s="108" t="n">
        <v>0</v>
      </c>
      <c r="N2" s="108" t="n">
        <v>28</v>
      </c>
      <c r="O2" s="108" t="n">
        <v>28600</v>
      </c>
      <c r="P2" s="108" t="n">
        <v>750</v>
      </c>
      <c r="Q2" s="108" t="n">
        <v>0</v>
      </c>
      <c r="R2" s="108" t="n">
        <v>0</v>
      </c>
      <c r="S2" s="108" t="n">
        <v>29350</v>
      </c>
      <c r="T2" s="108" t="n">
        <v>2641.5</v>
      </c>
      <c r="U2" s="108" t="n">
        <v>2641.5</v>
      </c>
      <c r="V2" s="108" t="n">
        <v>34633</v>
      </c>
      <c r="W2" s="107" t="n">
        <v/>
      </c>
    </row>
    <row r="3">
      <c r="A3" s="107" t="inlineStr">
        <is>
          <t>Dinesh Maheshwari</t>
        </is>
      </c>
      <c r="B3" s="107" t="inlineStr">
        <is>
          <t>JB-10190</t>
        </is>
      </c>
      <c r="C3" s="107" t="inlineStr">
        <is>
          <t>JAYSHREE SUNIL KASBE</t>
        </is>
      </c>
      <c r="D3" s="108" t="n">
        <v>33600</v>
      </c>
      <c r="E3" s="108" t="n">
        <v>28</v>
      </c>
      <c r="F3" s="108" t="n">
        <v>28</v>
      </c>
      <c r="G3" s="108" t="n">
        <v>4</v>
      </c>
      <c r="H3" s="108" t="n">
        <v>4</v>
      </c>
      <c r="I3" s="108" t="n">
        <v>1</v>
      </c>
      <c r="J3" s="108" t="n">
        <v>19</v>
      </c>
      <c r="K3" s="108" t="n">
        <v>28</v>
      </c>
      <c r="L3" s="108" t="n">
        <v>0</v>
      </c>
      <c r="M3" s="108" t="n">
        <v>0</v>
      </c>
      <c r="N3" s="108" t="n">
        <v>28</v>
      </c>
      <c r="O3" s="108" t="n">
        <v>33600</v>
      </c>
      <c r="P3" s="108" t="n">
        <v>1500</v>
      </c>
      <c r="Q3" s="108" t="n">
        <v>0</v>
      </c>
      <c r="R3" s="108" t="n">
        <v>0</v>
      </c>
      <c r="S3" s="108" t="n">
        <v>35100</v>
      </c>
      <c r="T3" s="108" t="n">
        <v>3159</v>
      </c>
      <c r="U3" s="108" t="n">
        <v>3159</v>
      </c>
      <c r="V3" s="108" t="n">
        <v>41418</v>
      </c>
      <c r="W3" s="107" t="n">
        <v/>
      </c>
    </row>
    <row r="4">
      <c r="A4" s="107" t="inlineStr">
        <is>
          <t>Dinesh Maheshwari</t>
        </is>
      </c>
      <c r="B4" s="107" t="inlineStr">
        <is>
          <t>JB-10191</t>
        </is>
      </c>
      <c r="C4" s="107" t="inlineStr">
        <is>
          <t>UPADHYAY SHIVANGI MUKESHKUMAR</t>
        </is>
      </c>
      <c r="D4" s="108" t="n">
        <v>33600</v>
      </c>
      <c r="E4" s="108" t="n">
        <v>28</v>
      </c>
      <c r="F4" s="108" t="n">
        <v>28</v>
      </c>
      <c r="G4" s="108" t="n">
        <v>4</v>
      </c>
      <c r="H4" s="108" t="n">
        <v>4</v>
      </c>
      <c r="I4" s="108" t="n">
        <v>1</v>
      </c>
      <c r="J4" s="108" t="n">
        <v>19</v>
      </c>
      <c r="K4" s="108" t="n">
        <v>28</v>
      </c>
      <c r="L4" s="108" t="n">
        <v>0</v>
      </c>
      <c r="M4" s="108" t="n">
        <v>0</v>
      </c>
      <c r="N4" s="108" t="n">
        <v>28</v>
      </c>
      <c r="O4" s="108" t="n">
        <v>33600</v>
      </c>
      <c r="P4" s="108" t="n">
        <v>1500</v>
      </c>
      <c r="Q4" s="108" t="n">
        <v>0</v>
      </c>
      <c r="R4" s="108" t="n">
        <v>0</v>
      </c>
      <c r="S4" s="108" t="n">
        <v>35100</v>
      </c>
      <c r="T4" s="108" t="n">
        <v>3159</v>
      </c>
      <c r="U4" s="108" t="n">
        <v>3159</v>
      </c>
      <c r="V4" s="108" t="n">
        <v>41418</v>
      </c>
      <c r="W4" s="107" t="n">
        <v/>
      </c>
    </row>
    <row r="5">
      <c r="A5" s="107" t="inlineStr">
        <is>
          <t>Dinesh Maheshwari</t>
        </is>
      </c>
      <c r="B5" s="107" t="inlineStr">
        <is>
          <t>JB-10211</t>
        </is>
      </c>
      <c r="C5" s="107" t="inlineStr">
        <is>
          <t>CYRIL ANDREW MASCARENHAS</t>
        </is>
      </c>
      <c r="D5" s="108" t="n">
        <v>30000</v>
      </c>
      <c r="E5" s="108" t="n">
        <v>28</v>
      </c>
      <c r="F5" s="108" t="n">
        <v>28</v>
      </c>
      <c r="G5" s="108" t="n">
        <v>4</v>
      </c>
      <c r="H5" s="108" t="n">
        <v>4</v>
      </c>
      <c r="I5" s="108" t="n">
        <v>1</v>
      </c>
      <c r="J5" s="108" t="n">
        <v>19</v>
      </c>
      <c r="K5" s="108" t="n">
        <v>28</v>
      </c>
      <c r="L5" s="108" t="n">
        <v>0</v>
      </c>
      <c r="M5" s="108" t="n">
        <v>0</v>
      </c>
      <c r="N5" s="108" t="n">
        <v>28</v>
      </c>
      <c r="O5" s="108" t="n">
        <v>30000</v>
      </c>
      <c r="P5" s="108" t="n">
        <v>750</v>
      </c>
      <c r="Q5" s="108" t="n">
        <v>0</v>
      </c>
      <c r="R5" s="108" t="n">
        <v>0</v>
      </c>
      <c r="S5" s="108" t="n">
        <v>30750</v>
      </c>
      <c r="T5" s="108" t="n">
        <v>2767.5</v>
      </c>
      <c r="U5" s="108" t="n">
        <v>2767.5</v>
      </c>
      <c r="V5" s="108" t="n">
        <v>36285</v>
      </c>
      <c r="W5" s="107" t="n">
        <v/>
      </c>
    </row>
    <row r="6">
      <c r="A6" s="107" t="inlineStr">
        <is>
          <t>Dinesh Maheshwari</t>
        </is>
      </c>
      <c r="B6" s="107" t="inlineStr">
        <is>
          <t>JB-10229</t>
        </is>
      </c>
      <c r="C6" s="107" t="inlineStr">
        <is>
          <t>SACHIN RAJAN GUPTA</t>
        </is>
      </c>
      <c r="D6" s="108" t="n">
        <v>37500</v>
      </c>
      <c r="E6" s="108" t="n">
        <v>28</v>
      </c>
      <c r="F6" s="108" t="n">
        <v>28</v>
      </c>
      <c r="G6" s="108" t="n">
        <v>4</v>
      </c>
      <c r="H6" s="108" t="n">
        <v>4</v>
      </c>
      <c r="I6" s="108" t="n">
        <v>1</v>
      </c>
      <c r="J6" s="108" t="n">
        <v>19</v>
      </c>
      <c r="K6" s="108" t="n">
        <v>28</v>
      </c>
      <c r="L6" s="108" t="n">
        <v>0</v>
      </c>
      <c r="M6" s="108" t="n">
        <v>0</v>
      </c>
      <c r="N6" s="108" t="n">
        <v>28</v>
      </c>
      <c r="O6" s="108" t="n">
        <v>37500</v>
      </c>
      <c r="P6" s="108" t="n">
        <v>750</v>
      </c>
      <c r="Q6" s="108" t="n">
        <v>0</v>
      </c>
      <c r="R6" s="108" t="n">
        <v>0</v>
      </c>
      <c r="S6" s="108" t="n">
        <v>38250</v>
      </c>
      <c r="T6" s="108" t="n">
        <v>3442.5</v>
      </c>
      <c r="U6" s="108" t="n">
        <v>3442.5</v>
      </c>
      <c r="V6" s="108" t="n">
        <v>45135</v>
      </c>
      <c r="W6" s="107" t="n">
        <v/>
      </c>
    </row>
    <row r="7">
      <c r="A7" s="109" t="inlineStr">
        <is>
          <t>TOTAL</t>
        </is>
      </c>
      <c r="B7" s="109" t="n"/>
      <c r="C7" s="109" t="n"/>
      <c r="D7" s="110">
        <f>ROUND(SUM(D2:D6), 0)</f>
        <v/>
      </c>
      <c r="E7" s="110">
        <f>ROUND(SUM(E2:E6), 0)</f>
        <v/>
      </c>
      <c r="F7" s="110">
        <f>ROUND(SUM(F2:F6), 0)</f>
        <v/>
      </c>
      <c r="G7" s="110">
        <f>ROUND(SUM(G2:G6), 0)</f>
        <v/>
      </c>
      <c r="H7" s="110">
        <f>ROUND(SUM(H2:H6), 0)</f>
        <v/>
      </c>
      <c r="I7" s="110">
        <f>ROUND(SUM(I2:I6), 0)</f>
        <v/>
      </c>
      <c r="J7" s="110">
        <f>ROUND(SUM(J2:J6), 0)</f>
        <v/>
      </c>
      <c r="K7" s="110">
        <f>ROUND(SUM(K2:K6), 0)</f>
        <v/>
      </c>
      <c r="L7" s="110">
        <f>ROUND(SUM(L2:L6), 0)</f>
        <v/>
      </c>
      <c r="M7" s="110">
        <f>ROUND(SUM(M2:M6), 0)</f>
        <v/>
      </c>
      <c r="N7" s="110">
        <f>ROUND(SUM(N2:N6), 0)</f>
        <v/>
      </c>
      <c r="O7" s="110">
        <f>ROUND(SUM(O2:O6), 0)</f>
        <v/>
      </c>
      <c r="P7" s="110">
        <f>ROUND(SUM(P2:P6), 0)</f>
        <v/>
      </c>
      <c r="Q7" s="110">
        <f>ROUND(SUM(Q2:Q6), 0)</f>
        <v/>
      </c>
      <c r="R7" s="110">
        <f>ROUND(SUM(R2:R6), 0)</f>
        <v/>
      </c>
      <c r="S7" s="110">
        <f>ROUND(SUM(S2:S6), 0)</f>
        <v/>
      </c>
      <c r="T7" s="110">
        <f>CEILING(SUM(T2:T6), 1)</f>
        <v/>
      </c>
      <c r="U7" s="110">
        <f>CEILING(SUM(U2:U6), 1)</f>
        <v/>
      </c>
      <c r="V7" s="110">
        <f>ROUND(SUM(S7,T7,U7), 0)</f>
        <v/>
      </c>
      <c r="W7" s="109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2026-02-28T13:17:56Z</dcterms:modified>
  <cp:lastModifiedBy>Kanishk Maheshwari</cp:lastModifiedBy>
  <cp:lastPrinted>2026-02-09T11:42:21Z</cp:lastPrinted>
</cp:coreProperties>
</file>