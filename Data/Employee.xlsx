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10" yWindow="-110" windowWidth="19420" windowHeight="11020"/>
  </bookViews>
  <sheets>
    <sheet name="Sheet1" sheetId="1" r:id="rId1"/>
    <sheet name="Data Validation" sheetId="3" r:id="rId2"/>
    <sheet name="Sheet3" sheetId="7" r:id="rId3"/>
    <sheet name="Sheet2" sheetId="2" r:id="rId4"/>
    <sheet name="New Joiners" sheetId="6" r:id="rId5"/>
  </sheets>
  <definedNames>
    <definedName name="_xlnm._FilterDatabase" localSheetId="0" hidden="1">Sheet1!$A$1:$W$181</definedName>
  </definedNames>
  <calcPr calcId="145621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1" l="1"/>
  <c r="M118" i="1" l="1"/>
  <c r="M180" i="1"/>
  <c r="M2" i="1" l="1"/>
  <c r="M4" i="1"/>
  <c r="M7" i="1"/>
  <c r="M10" i="1"/>
  <c r="M6" i="1"/>
  <c r="M5" i="1"/>
  <c r="M11" i="1"/>
  <c r="M18" i="1"/>
  <c r="M27" i="1"/>
  <c r="M16" i="1"/>
  <c r="M20" i="1"/>
  <c r="M28" i="1"/>
  <c r="M19" i="1"/>
  <c r="M21" i="1"/>
  <c r="M12" i="1"/>
  <c r="M30" i="1"/>
  <c r="M8" i="1"/>
  <c r="M26" i="1"/>
  <c r="M22" i="1"/>
  <c r="M29" i="1"/>
  <c r="M3" i="1"/>
  <c r="M13" i="1"/>
  <c r="M15" i="1"/>
  <c r="M23" i="1"/>
  <c r="M24" i="1"/>
  <c r="M9" i="1"/>
  <c r="M31" i="1"/>
  <c r="M17" i="1"/>
  <c r="M25" i="1"/>
  <c r="M14" i="1"/>
  <c r="M33" i="1"/>
  <c r="M34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9" i="1"/>
  <c r="M120" i="1"/>
  <c r="M123" i="1"/>
  <c r="M124" i="1"/>
  <c r="M121" i="1"/>
  <c r="M122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</calcChain>
</file>

<file path=xl/sharedStrings.xml><?xml version="1.0" encoding="utf-8"?>
<sst xmlns="http://schemas.openxmlformats.org/spreadsheetml/2006/main" count="3003" uniqueCount="619">
  <si>
    <t>Kind Attention Person</t>
  </si>
  <si>
    <t>Employee Code</t>
  </si>
  <si>
    <t>Employee Name</t>
  </si>
  <si>
    <t>Company Name</t>
  </si>
  <si>
    <t>Date of Joining</t>
  </si>
  <si>
    <t>Employee Type</t>
  </si>
  <si>
    <t>Working At</t>
  </si>
  <si>
    <t>Position</t>
  </si>
  <si>
    <t>Billing</t>
  </si>
  <si>
    <t>Salary</t>
  </si>
  <si>
    <t>Diff</t>
  </si>
  <si>
    <t>Billing Cycle</t>
  </si>
  <si>
    <t>Workweek</t>
  </si>
  <si>
    <t>No of Holidays</t>
  </si>
  <si>
    <t>Total Present</t>
  </si>
  <si>
    <t>Absents this Month</t>
  </si>
  <si>
    <t>Adjustment of Days</t>
  </si>
  <si>
    <t>Out of Pocket Exp</t>
  </si>
  <si>
    <t>Arrears</t>
  </si>
  <si>
    <t>GST</t>
  </si>
  <si>
    <t>Remark</t>
  </si>
  <si>
    <t>Adish Talim</t>
  </si>
  <si>
    <t>AADITYA VIJAY GOPALANI</t>
  </si>
  <si>
    <t>Jobuss</t>
  </si>
  <si>
    <t>01/09/2024</t>
  </si>
  <si>
    <t>Existing</t>
  </si>
  <si>
    <t>Reliance Industries Ltd</t>
  </si>
  <si>
    <t>Executive</t>
  </si>
  <si>
    <t>21st to 20th</t>
  </si>
  <si>
    <t>5 day</t>
  </si>
  <si>
    <t>CGST/SGST</t>
  </si>
  <si>
    <t>ABHINANDAN JITENDRA SINGH</t>
  </si>
  <si>
    <t>Aradhya</t>
  </si>
  <si>
    <t>11/08/2022</t>
  </si>
  <si>
    <t>ABHISHEK GUPTA</t>
  </si>
  <si>
    <t>16/04/2021</t>
  </si>
  <si>
    <t>ARUMUGAM PERIASWAMY DEVENDRAN</t>
  </si>
  <si>
    <t>25/01/2021</t>
  </si>
  <si>
    <t>ASHISH BANSHIDHAR RAI</t>
  </si>
  <si>
    <t>05/09/2022</t>
  </si>
  <si>
    <t>ASHUTOSH ANILKUMAR PATIL</t>
  </si>
  <si>
    <t>30/10/2023</t>
  </si>
  <si>
    <t>DEEPAK KUMAR SRIVASTAVA</t>
  </si>
  <si>
    <t>20/05/2025</t>
  </si>
  <si>
    <t>GANESH BHAGWAN KHADKE</t>
  </si>
  <si>
    <t>30/11/2020</t>
  </si>
  <si>
    <t>HARSHALI RAMESH KOLI</t>
  </si>
  <si>
    <t>27/04/2021</t>
  </si>
  <si>
    <t>JAI KUNAL</t>
  </si>
  <si>
    <t>11/09/2023</t>
  </si>
  <si>
    <t>KARAN JOGEANDER SINGH</t>
  </si>
  <si>
    <t>22/01/2025</t>
  </si>
  <si>
    <t>KIRTI SALASKAR</t>
  </si>
  <si>
    <t>25/12/2025</t>
  </si>
  <si>
    <t>MANASA CHANDRABABU NAIDU RAVILLA</t>
  </si>
  <si>
    <t>02/03/2025</t>
  </si>
  <si>
    <t>MANSI GOEL</t>
  </si>
  <si>
    <t>08/11/2021</t>
  </si>
  <si>
    <t>NIKHILESH RAMSAHAI VISHWAKARMA</t>
  </si>
  <si>
    <t>23/06/2025</t>
  </si>
  <si>
    <t>PANKAJ GUSAIN</t>
  </si>
  <si>
    <t>12/05/2021</t>
  </si>
  <si>
    <t>RAGHAV MANGLIK</t>
  </si>
  <si>
    <t>10/08/2023</t>
  </si>
  <si>
    <t>RAJKUMAR SIDRAM GAIKWAD</t>
  </si>
  <si>
    <t>RAM PRAKASH PATIL</t>
  </si>
  <si>
    <t>01/09/2023</t>
  </si>
  <si>
    <t>SANCHIT KACHALE</t>
  </si>
  <si>
    <t>21/07/2025</t>
  </si>
  <si>
    <t>SANTOSH NAMDEV WAGHMARE</t>
  </si>
  <si>
    <t>20/01/2025</t>
  </si>
  <si>
    <t>SHIVANI SURESH SHARMA</t>
  </si>
  <si>
    <t>28/04/2025</t>
  </si>
  <si>
    <t>SHUBHAM SANJAY KUWALEKAR</t>
  </si>
  <si>
    <t>22/09/2025</t>
  </si>
  <si>
    <t>SHWETA GAJANAN GOSAVI</t>
  </si>
  <si>
    <t>22/04/2024</t>
  </si>
  <si>
    <t>SNEHA PRAVIN SHINDE</t>
  </si>
  <si>
    <t>03/08/2021</t>
  </si>
  <si>
    <t>SNEHA TIWARI</t>
  </si>
  <si>
    <t>01/06/2023</t>
  </si>
  <si>
    <t>SURYAKANTA SAHOO</t>
  </si>
  <si>
    <t>12/08/2024</t>
  </si>
  <si>
    <t>SUSMITA TUSHAR PATOLE</t>
  </si>
  <si>
    <t>11/10/2023</t>
  </si>
  <si>
    <t>URVIJA VINU PATIL</t>
  </si>
  <si>
    <t>27/05/2025</t>
  </si>
  <si>
    <t>Aditya Sureka</t>
  </si>
  <si>
    <t>Jignesh Hindlekar</t>
  </si>
  <si>
    <t>05/01/2026</t>
  </si>
  <si>
    <t>1st to 31st</t>
  </si>
  <si>
    <t>IGST</t>
  </si>
  <si>
    <t>SRIKANTH PS</t>
  </si>
  <si>
    <t>18/09/2025</t>
  </si>
  <si>
    <t>-</t>
  </si>
  <si>
    <t>Anil Agarwal</t>
  </si>
  <si>
    <t>ABHISHEK DATTATRAY MAHAJAN</t>
  </si>
  <si>
    <t>10/11/2025</t>
  </si>
  <si>
    <t>ADARSH CHANDRASHEKHAR NAIR</t>
  </si>
  <si>
    <t>03/07/2025</t>
  </si>
  <si>
    <t>AJAY BALKRISHNA KALVIKATTE</t>
  </si>
  <si>
    <t>14/02/2019</t>
  </si>
  <si>
    <t>AKANKSHA ANANT RANE</t>
  </si>
  <si>
    <t>08/02/2024</t>
  </si>
  <si>
    <t>AKANSHA SANTOSH SHIVALKAR</t>
  </si>
  <si>
    <t>22/12/2025</t>
  </si>
  <si>
    <t>AKSHATA DHIRAJ SURVE</t>
  </si>
  <si>
    <t>13/10/2025</t>
  </si>
  <si>
    <t>ALLAUDDIN ISMAIL SHAIKH</t>
  </si>
  <si>
    <t>08/11/2022</t>
  </si>
  <si>
    <t>ANIL SHANKAR JADHAV</t>
  </si>
  <si>
    <t>01/04/2018</t>
  </si>
  <si>
    <t>ANKITA ANANT RANE</t>
  </si>
  <si>
    <t>04/11/2024</t>
  </si>
  <si>
    <t>ANKITA GOSWAMI</t>
  </si>
  <si>
    <t>01/09/2025</t>
  </si>
  <si>
    <t>ASHISH ASHOK SARVANKAR</t>
  </si>
  <si>
    <t>19/01/2021</t>
  </si>
  <si>
    <t>AVINASH MARUTI PAWAR</t>
  </si>
  <si>
    <t>03/12/2025</t>
  </si>
  <si>
    <t>BHUSHAN SUNIL ZAREKAR</t>
  </si>
  <si>
    <t>02/02/2022</t>
  </si>
  <si>
    <t>CHAITRALI SURESH SURVE</t>
  </si>
  <si>
    <t>17/04/2018</t>
  </si>
  <si>
    <t>CHANDRASHEKHAR KASHINATH PARADKAR</t>
  </si>
  <si>
    <t>11/07/2025</t>
  </si>
  <si>
    <t>DATTATRAY MADHUKAR GAIKWAD</t>
  </si>
  <si>
    <t>01/06/2022</t>
  </si>
  <si>
    <t>DEEPA SHOBHNATH TRIPATHI</t>
  </si>
  <si>
    <t>28/11/2022</t>
  </si>
  <si>
    <t>DEEPIKA UMESH JHA</t>
  </si>
  <si>
    <t>03/10/2024</t>
  </si>
  <si>
    <t>DIXITA ANIKET PATIL</t>
  </si>
  <si>
    <t>15/07/2025</t>
  </si>
  <si>
    <t>GIRISH VALECHA</t>
  </si>
  <si>
    <t>GITANJALI ANANT JADHAV</t>
  </si>
  <si>
    <t>01/12/2025</t>
  </si>
  <si>
    <t>GULAB HANUMANTA KADAM</t>
  </si>
  <si>
    <t>01/11/2021</t>
  </si>
  <si>
    <t>HARSHADA SANDEEP GADAVE</t>
  </si>
  <si>
    <t>15/09/2025</t>
  </si>
  <si>
    <t>JYOTI DATTARAM SHINDE</t>
  </si>
  <si>
    <t>KEVIN MARU</t>
  </si>
  <si>
    <t>KUNDAN MUNNA PANDIT</t>
  </si>
  <si>
    <t>05/08/2025</t>
  </si>
  <si>
    <t>LILADHAR KUMAR JHA</t>
  </si>
  <si>
    <t>MAMATA RAGHUNATH NEWALKAR</t>
  </si>
  <si>
    <t>01/11/2023</t>
  </si>
  <si>
    <t>MEGHA VILAS GUND</t>
  </si>
  <si>
    <t>28/08/2023</t>
  </si>
  <si>
    <t>Meghana Balakrishnan Nair</t>
  </si>
  <si>
    <t>10/12/2025</t>
  </si>
  <si>
    <t>MEGHNA DESAI</t>
  </si>
  <si>
    <t>14/02/2022</t>
  </si>
  <si>
    <t>MOHAMMAD RIZWAN ANSARI</t>
  </si>
  <si>
    <t>MOUBANI PRAKASH LALWANI</t>
  </si>
  <si>
    <t>POOJA AJAY CHAURASIA</t>
  </si>
  <si>
    <t>06/01/2026</t>
  </si>
  <si>
    <t>POOJA CHANDRAKANT BHAVKE</t>
  </si>
  <si>
    <t>02/07/2018</t>
  </si>
  <si>
    <t>PRAJJWAL PRAKASH PEDNEKAR</t>
  </si>
  <si>
    <t>04/08/2025</t>
  </si>
  <si>
    <t>PRANAY PRABHAKAR CHAVAN</t>
  </si>
  <si>
    <t>23/09/2025</t>
  </si>
  <si>
    <t>PRATHAMESH ARUN PATIL</t>
  </si>
  <si>
    <t>19/02/2024</t>
  </si>
  <si>
    <t>PRATHAMESH AVINASH DESHMUKH</t>
  </si>
  <si>
    <t>PRIYANKA ANKUSH BHOSALE</t>
  </si>
  <si>
    <t>08/09/2025</t>
  </si>
  <si>
    <t>RAHUL SOPAN MAHTRE</t>
  </si>
  <si>
    <t>05/03/2024</t>
  </si>
  <si>
    <t>RITESH KUMAR KORJAL</t>
  </si>
  <si>
    <t>01/05/2024</t>
  </si>
  <si>
    <t>RITESH SHAILESH CHAURASIYA</t>
  </si>
  <si>
    <t>17/01/2022</t>
  </si>
  <si>
    <t>RUPESH SURESH YADAV</t>
  </si>
  <si>
    <t>03/11/2025</t>
  </si>
  <si>
    <t>SACHIN MAHADEV ALHAT</t>
  </si>
  <si>
    <t>02/05/2024</t>
  </si>
  <si>
    <t>01/01/2026</t>
  </si>
  <si>
    <t>SHARIF ABDUL REHMAN</t>
  </si>
  <si>
    <t>SIMRAN MINDA</t>
  </si>
  <si>
    <t>30/11/2024</t>
  </si>
  <si>
    <t>SNEHAL ZOPE</t>
  </si>
  <si>
    <t>15/12/2025</t>
  </si>
  <si>
    <t>SOMNATH KALU GHORPADE</t>
  </si>
  <si>
    <t>SONAL KONDIRAM PARTE</t>
  </si>
  <si>
    <t>21/10/2024</t>
  </si>
  <si>
    <t>SONU RATILAL LAKHARA</t>
  </si>
  <si>
    <t>21/04/2025</t>
  </si>
  <si>
    <t>SUJAL SANTOSH ZAGADE</t>
  </si>
  <si>
    <t>01/10/2024</t>
  </si>
  <si>
    <t>SUMIT PRABHAKAR DETHE</t>
  </si>
  <si>
    <t>20/02/2023</t>
  </si>
  <si>
    <t>SUMIT SUDAM SHINDE</t>
  </si>
  <si>
    <t>01/05/2022</t>
  </si>
  <si>
    <t>Suraj Anant Kadam</t>
  </si>
  <si>
    <t>24/02/2025</t>
  </si>
  <si>
    <t>VIBHAVARI MAHESH JAMDAR</t>
  </si>
  <si>
    <t>17/11/2025</t>
  </si>
  <si>
    <t>VIHAR CHANDUBHAI PADSHALA</t>
  </si>
  <si>
    <t>28/07/2025</t>
  </si>
  <si>
    <t>Balchandra Barde</t>
  </si>
  <si>
    <t>6 day</t>
  </si>
  <si>
    <t>20/12/2025</t>
  </si>
  <si>
    <t>PRITI MISHRA</t>
  </si>
  <si>
    <t>SONI MISHRA</t>
  </si>
  <si>
    <t>CYRIL ANDREW MASCARENHAS</t>
  </si>
  <si>
    <t>OPC Assets Solutions</t>
  </si>
  <si>
    <t>JAYSHREE SUNIL KASBE</t>
  </si>
  <si>
    <t>30/04/2024</t>
  </si>
  <si>
    <t>RUSSEL ROZARIO</t>
  </si>
  <si>
    <t>SACHIN RAJAN GUPTA</t>
  </si>
  <si>
    <t>UPADHYAY SHIVANGI MUKESHKUMAR</t>
  </si>
  <si>
    <t>VIDHYASHREE NARAYANASWAMY</t>
  </si>
  <si>
    <t>17/03/2025</t>
  </si>
  <si>
    <t>John Nadar</t>
  </si>
  <si>
    <t>28/11/2025</t>
  </si>
  <si>
    <t>Reliance Retail Ltd</t>
  </si>
  <si>
    <t>MYLAVARAPU SAMEER BHANU PRASAD</t>
  </si>
  <si>
    <t>10/09/2025</t>
  </si>
  <si>
    <t>Kiran Kokare</t>
  </si>
  <si>
    <t>MAYUR DINANATH PATIL</t>
  </si>
  <si>
    <t>16/06/2025</t>
  </si>
  <si>
    <t>Hathway Digital Ltd.</t>
  </si>
  <si>
    <t>26th to 25th</t>
  </si>
  <si>
    <t>PRANAV DEEPAK SHARMA</t>
  </si>
  <si>
    <t>11/09/2025</t>
  </si>
  <si>
    <t>PRASHANT VIJAY SADVELKAR</t>
  </si>
  <si>
    <t>13/02/2024</t>
  </si>
  <si>
    <t>ROHIT SAMPAT UMBARKAR</t>
  </si>
  <si>
    <t>06/02/2025</t>
  </si>
  <si>
    <t>Meena Gawand</t>
  </si>
  <si>
    <t>DINKAR LAXMAN SALASKAR</t>
  </si>
  <si>
    <t>01/08/2025</t>
  </si>
  <si>
    <t>HARSHADA VIJAY SHINDE</t>
  </si>
  <si>
    <t>13/05/2025</t>
  </si>
  <si>
    <t>SARITA MAHADEV PATIL</t>
  </si>
  <si>
    <t>12/03/2024</t>
  </si>
  <si>
    <t>Naresh Divekar</t>
  </si>
  <si>
    <t>ANUJA BALIRAM BAHIRA</t>
  </si>
  <si>
    <t>12/09/2022</t>
  </si>
  <si>
    <t>ARCHANA DNYANESHWAR ANDHERE</t>
  </si>
  <si>
    <t>DEEPASVI SURESH HINDALEKAR</t>
  </si>
  <si>
    <t>01/03/2022</t>
  </si>
  <si>
    <t>HARSHADA DIPAK MAHADIK</t>
  </si>
  <si>
    <t>20/08/2024</t>
  </si>
  <si>
    <t>JAYSHREE DIGAMBAR BHOSALE</t>
  </si>
  <si>
    <t>PRAJAKTA SUDHIR GOSAVI</t>
  </si>
  <si>
    <t>16/03/2022</t>
  </si>
  <si>
    <t>SARITA SUNDER POOJARI</t>
  </si>
  <si>
    <t>26/09/2022</t>
  </si>
  <si>
    <t>Pramod Pai</t>
  </si>
  <si>
    <t>AAKASH BOHARA</t>
  </si>
  <si>
    <t>ABNJ</t>
  </si>
  <si>
    <t>Rajesh Ghevariya</t>
  </si>
  <si>
    <t>PRAKASH VAJUBHAI WADHEL</t>
  </si>
  <si>
    <t>Manager</t>
  </si>
  <si>
    <t>25th to 24th</t>
  </si>
  <si>
    <t>RACHANA VISHNU MORE</t>
  </si>
  <si>
    <t>23/05/2025</t>
  </si>
  <si>
    <t>Raman Popli</t>
  </si>
  <si>
    <t>VIJETA SUMEET NILE</t>
  </si>
  <si>
    <t>Ranjit Dash</t>
  </si>
  <si>
    <t>ANKIT NAVNATH JADHAV</t>
  </si>
  <si>
    <t>15/01/2026</t>
  </si>
  <si>
    <t>POOJA KUMARI</t>
  </si>
  <si>
    <t>Sanjay Jain</t>
  </si>
  <si>
    <t>DARSHANA KRISHNA GUDULKAR</t>
  </si>
  <si>
    <t>KOTIAN ABHISH ANIL</t>
  </si>
  <si>
    <t>25/11/2025</t>
  </si>
  <si>
    <t>Sneha Randeo</t>
  </si>
  <si>
    <t>PRATHAMESH DNYANESHWAR PEDNEKAR</t>
  </si>
  <si>
    <t>03/01/2025</t>
  </si>
  <si>
    <t>PRIYANKA VITTHAL NAVGHANE</t>
  </si>
  <si>
    <t>Vidhya Dhamankar</t>
  </si>
  <si>
    <t>ANIKET ANANDA DHANAWADE</t>
  </si>
  <si>
    <t>06/03/2023</t>
  </si>
  <si>
    <t>ANKITA SHRIPATI NALAWADE</t>
  </si>
  <si>
    <t>08/07/2024</t>
  </si>
  <si>
    <t>DIKSHA SACHIN JADHAV</t>
  </si>
  <si>
    <t>26/06/2022</t>
  </si>
  <si>
    <t>MAYURI ANANT PANHALKAR</t>
  </si>
  <si>
    <t>07/03/2024</t>
  </si>
  <si>
    <t>MAYURI VILAS MANJALKAR</t>
  </si>
  <si>
    <t>21/04/2022</t>
  </si>
  <si>
    <t>PRATIKSHA DILIP POTE</t>
  </si>
  <si>
    <t>27/07/2022</t>
  </si>
  <si>
    <t>ROSHANI DEEPAK KANDAR</t>
  </si>
  <si>
    <t>SAHIL LAHU MHATRE</t>
  </si>
  <si>
    <t>16/12/2024</t>
  </si>
  <si>
    <t>SAKSHI SURESH DAKVE</t>
  </si>
  <si>
    <t>SHRAVANI SAGAR NARKAR</t>
  </si>
  <si>
    <t>25/10/2019</t>
  </si>
  <si>
    <t>SHRUTI CHANDRAKANT UTEKAR</t>
  </si>
  <si>
    <t>23/12/2024</t>
  </si>
  <si>
    <t>SHRUTI JADHAV</t>
  </si>
  <si>
    <t>SHRUTI SHASHIKANT PAWAR</t>
  </si>
  <si>
    <t>02/12/2024</t>
  </si>
  <si>
    <t>TANVI MADHUKAR PANSARE</t>
  </si>
  <si>
    <t>VISHAL VITTHAL SALATE</t>
  </si>
  <si>
    <t>26/08/2024</t>
  </si>
  <si>
    <t>VIVEK VINOD TIWARI</t>
  </si>
  <si>
    <t>Vijay Sanas</t>
  </si>
  <si>
    <t>SANDESH LAXMAN PAWAR</t>
  </si>
  <si>
    <t>08/05/2024</t>
  </si>
  <si>
    <t>VAIBHAV JAGDISH PATIL</t>
  </si>
  <si>
    <t>09/12/2022</t>
  </si>
  <si>
    <t>Vishal Talreja</t>
  </si>
  <si>
    <t>NISHIBEN VIPULKUMAR JAYSWAL</t>
  </si>
  <si>
    <t>17/09/2025</t>
  </si>
  <si>
    <t>Vrajesh Shah</t>
  </si>
  <si>
    <t>AARTI UPADHYAY</t>
  </si>
  <si>
    <t>09/10/2025</t>
  </si>
  <si>
    <t>ANKITA SANTOSH MHATRE</t>
  </si>
  <si>
    <t>23/12/2025</t>
  </si>
  <si>
    <t>IRSHA RAMESH SHINDE</t>
  </si>
  <si>
    <t>08/12/2025</t>
  </si>
  <si>
    <t>POOJA VASANT KHOPADE</t>
  </si>
  <si>
    <t>11/08/2025</t>
  </si>
  <si>
    <t>ROOPA RAJESH NAIK</t>
  </si>
  <si>
    <t>03/06/2025</t>
  </si>
  <si>
    <t>SANDHYA SAIKIRAN DASARI</t>
  </si>
  <si>
    <t>10/07/2024</t>
  </si>
  <si>
    <t>HDFC Bank</t>
  </si>
  <si>
    <t>Individual Learning Ltd</t>
  </si>
  <si>
    <t>Sagar Thumma</t>
  </si>
  <si>
    <t>VINAY YASWANT JOSHI</t>
  </si>
  <si>
    <t>RENUKA SHRIVASTAV</t>
  </si>
  <si>
    <t>VISMAYA SURESH NAIR</t>
  </si>
  <si>
    <t>NIKITA TAMBE</t>
  </si>
  <si>
    <t>AKASH DILIPKUMAR GUPTA</t>
  </si>
  <si>
    <t>RIDDHI RAVINDRA NARKAR</t>
  </si>
  <si>
    <t>Titan Company Ltd</t>
  </si>
  <si>
    <t>New Joiner</t>
  </si>
  <si>
    <t>Steve Saldhana</t>
  </si>
  <si>
    <t>VISHAL RAMESH GAWADE</t>
  </si>
  <si>
    <t>CHETAN NARAYAN POOJARI</t>
  </si>
  <si>
    <t>VIKRAM LAXMAN PARTE</t>
  </si>
  <si>
    <t>CHINMAYA KIRAN BANSOLE</t>
  </si>
  <si>
    <t>MIHIR DILIP SHAH</t>
  </si>
  <si>
    <t>PRADNYA SANTOSH PHALKE</t>
  </si>
  <si>
    <t>ADITYA VIJAY GURAV</t>
  </si>
  <si>
    <t>KRUTIKA PRADEEP PATIL</t>
  </si>
  <si>
    <t>PRIYANKA YEDURKAR</t>
  </si>
  <si>
    <t>POOJA SHIVKUMAR SHARMA</t>
  </si>
  <si>
    <t>Reporting Person</t>
  </si>
  <si>
    <t>Amisha Shah</t>
  </si>
  <si>
    <t>Vikash Agarwal</t>
  </si>
  <si>
    <t>Manish Agarwal</t>
  </si>
  <si>
    <t>Prasanna</t>
  </si>
  <si>
    <t>Priyanka Modi/R K Khandewal</t>
  </si>
  <si>
    <t>Prakash Hale</t>
  </si>
  <si>
    <t>suresh kumar</t>
  </si>
  <si>
    <t>Manesh Deshmukh</t>
  </si>
  <si>
    <t>Anant Waje</t>
  </si>
  <si>
    <t>Ajith Rath</t>
  </si>
  <si>
    <t>Anand Prakash</t>
  </si>
  <si>
    <t>Anand Prakash/Navin Sherman</t>
  </si>
  <si>
    <t>Vilas Gawade</t>
  </si>
  <si>
    <t>R. K. Khandelwal</t>
  </si>
  <si>
    <t>Pawan Kabra</t>
  </si>
  <si>
    <t>Heer Fulwani</t>
  </si>
  <si>
    <t>Abhishek Jain</t>
  </si>
  <si>
    <t>ATUL JAIN</t>
  </si>
  <si>
    <t>Saravana S</t>
  </si>
  <si>
    <t>Jaykumar Golini</t>
  </si>
  <si>
    <t>Sunil Ramchandani</t>
  </si>
  <si>
    <t>Dinesh Jadhav</t>
  </si>
  <si>
    <t>Manish Bhutoria</t>
  </si>
  <si>
    <t>Pavan Kabra</t>
  </si>
  <si>
    <t>Bhumika Baua</t>
  </si>
  <si>
    <t>Deepak Goyal/Sachin Mutha</t>
  </si>
  <si>
    <t>Mukul Agarwal</t>
  </si>
  <si>
    <t>PRASANNA</t>
  </si>
  <si>
    <t>Sudip Majumder</t>
  </si>
  <si>
    <t>Sachin Verma</t>
  </si>
  <si>
    <t>Maneesh Agarwal</t>
  </si>
  <si>
    <t>Ashish Mahapatra</t>
  </si>
  <si>
    <t>Benny Kangirath</t>
  </si>
  <si>
    <t>Jayanth Poojari</t>
  </si>
  <si>
    <t>Sachin Motha</t>
  </si>
  <si>
    <t>Swaminathan Iyer/Vivek Gupta</t>
  </si>
  <si>
    <t>Anish Thomas</t>
  </si>
  <si>
    <t>R. K.Khandelwal</t>
  </si>
  <si>
    <t>Navin Sherman</t>
  </si>
  <si>
    <t>Jyoti Jain</t>
  </si>
  <si>
    <t>Mrinal Vat</t>
  </si>
  <si>
    <t>Atul Jain</t>
  </si>
  <si>
    <t>Manmit Verma</t>
  </si>
  <si>
    <t>Rajesh Shah</t>
  </si>
  <si>
    <t>Julie Mishra</t>
  </si>
  <si>
    <t>Sachin Mutha/ Manmit Verma</t>
  </si>
  <si>
    <t>Karishma Modi</t>
  </si>
  <si>
    <t>R K khandewal</t>
  </si>
  <si>
    <t>Row Labels</t>
  </si>
  <si>
    <t>Grand Total</t>
  </si>
  <si>
    <t>Count of Employee Name</t>
  </si>
  <si>
    <t>RITESH SHARAD PATIL</t>
  </si>
  <si>
    <t>16/02/2026</t>
  </si>
  <si>
    <t>PARIMAL DHANRAJ BORADE</t>
  </si>
  <si>
    <t>Abhishek Sharma</t>
  </si>
  <si>
    <t>19/01/2026</t>
  </si>
  <si>
    <t>(blank)</t>
  </si>
  <si>
    <t>TARANNUM SHAIKH</t>
  </si>
  <si>
    <t>14/01/2026</t>
  </si>
  <si>
    <t>28/10/2025</t>
  </si>
  <si>
    <t>06/10/2025</t>
  </si>
  <si>
    <t>01/06/2024</t>
  </si>
  <si>
    <t>01/02/2026</t>
  </si>
  <si>
    <t>ADVAIT KEDAR GHANEKAR</t>
  </si>
  <si>
    <t>DEEPAK KUMAR MANDAL</t>
  </si>
  <si>
    <t>DIVYA SAHEBRAO SALVE</t>
  </si>
  <si>
    <t>NIKISHA NARAYAN BALGUDE</t>
  </si>
  <si>
    <t>SAGAR SUNIL HINDELEKAR</t>
  </si>
  <si>
    <t>SUPRIYA DADU SHINDE</t>
  </si>
  <si>
    <t>AR-10147</t>
  </si>
  <si>
    <t>AR-10153</t>
  </si>
  <si>
    <t>JB-10216</t>
  </si>
  <si>
    <t>JB-10034</t>
  </si>
  <si>
    <t>JB-10233</t>
  </si>
  <si>
    <t>JB-10239</t>
  </si>
  <si>
    <t>JB-10260</t>
  </si>
  <si>
    <t>JB-10280</t>
  </si>
  <si>
    <t>JB-10226</t>
  </si>
  <si>
    <t>JB-10109</t>
  </si>
  <si>
    <t>JB-10133</t>
  </si>
  <si>
    <t>JB-10266</t>
  </si>
  <si>
    <t>JB-10249</t>
  </si>
  <si>
    <t>JB-10189</t>
  </si>
  <si>
    <t>JB-10143</t>
  </si>
  <si>
    <t>AR-10136</t>
  </si>
  <si>
    <t>JB-10014</t>
  </si>
  <si>
    <t>JB-10011</t>
  </si>
  <si>
    <t>AR-10145</t>
  </si>
  <si>
    <t>JB-10089</t>
  </si>
  <si>
    <t>JB-10178</t>
  </si>
  <si>
    <t>JB-10009</t>
  </si>
  <si>
    <t>JB-10015</t>
  </si>
  <si>
    <t>JB-10085</t>
  </si>
  <si>
    <t>JB-10167</t>
  </si>
  <si>
    <t>JB-10169</t>
  </si>
  <si>
    <t>JB-10025</t>
  </si>
  <si>
    <t>JB-10197</t>
  </si>
  <si>
    <t>JB-10016</t>
  </si>
  <si>
    <t>JB-10080</t>
  </si>
  <si>
    <t>JB-10026</t>
  </si>
  <si>
    <t>JB-10084</t>
  </si>
  <si>
    <t>JB-10170</t>
  </si>
  <si>
    <t>JB-10176</t>
  </si>
  <si>
    <t>JB-10230</t>
  </si>
  <si>
    <t>JB-10119</t>
  </si>
  <si>
    <t>JB-10019</t>
  </si>
  <si>
    <t>JB-10076</t>
  </si>
  <si>
    <t>JB-10141</t>
  </si>
  <si>
    <t>JB-10088</t>
  </si>
  <si>
    <t>JB-10182</t>
  </si>
  <si>
    <t>JB-10240</t>
  </si>
  <si>
    <t>JB-10202</t>
  </si>
  <si>
    <t>JB-10271</t>
  </si>
  <si>
    <t>JB-10006</t>
  </si>
  <si>
    <t>JB-10101</t>
  </si>
  <si>
    <t>JB-10250</t>
  </si>
  <si>
    <t>JB-10232</t>
  </si>
  <si>
    <t>JB-10061</t>
  </si>
  <si>
    <t>AR-10012</t>
  </si>
  <si>
    <t>JB-10148</t>
  </si>
  <si>
    <t>JB-10010</t>
  </si>
  <si>
    <t>JB-10032</t>
  </si>
  <si>
    <t>JB-10001</t>
  </si>
  <si>
    <t>JB-10207</t>
  </si>
  <si>
    <t>JB-10200</t>
  </si>
  <si>
    <t>JB-10044</t>
  </si>
  <si>
    <t>JB-10062</t>
  </si>
  <si>
    <t>AR-10149</t>
  </si>
  <si>
    <t>JB-10203</t>
  </si>
  <si>
    <t>JB-10024</t>
  </si>
  <si>
    <t>JB-10227</t>
  </si>
  <si>
    <t>JB-10002</t>
  </si>
  <si>
    <t>JB-10237</t>
  </si>
  <si>
    <t>JB-10273</t>
  </si>
  <si>
    <t>JB-10204</t>
  </si>
  <si>
    <t>JB-10218</t>
  </si>
  <si>
    <t>JB-10090</t>
  </si>
  <si>
    <t>JB-10083</t>
  </si>
  <si>
    <t>JB-10134</t>
  </si>
  <si>
    <t>JB-10033</t>
  </si>
  <si>
    <t>JB-10268</t>
  </si>
  <si>
    <t>JB-10003</t>
  </si>
  <si>
    <t>JB-10258</t>
  </si>
  <si>
    <t>JB-10264</t>
  </si>
  <si>
    <t>JB-10005</t>
  </si>
  <si>
    <t>JB-10196</t>
  </si>
  <si>
    <t>JB-10272</t>
  </si>
  <si>
    <t>JB-10205</t>
  </si>
  <si>
    <t>JB-10220</t>
  </si>
  <si>
    <t>JB-10106</t>
  </si>
  <si>
    <t>JB-10206</t>
  </si>
  <si>
    <t>JB-10223</t>
  </si>
  <si>
    <t>JB-10276</t>
  </si>
  <si>
    <t>JB-10110</t>
  </si>
  <si>
    <t>JB-10030</t>
  </si>
  <si>
    <t>JB-10236</t>
  </si>
  <si>
    <t>JB-10125</t>
  </si>
  <si>
    <t>JB-10201</t>
  </si>
  <si>
    <t>JB-10282</t>
  </si>
  <si>
    <t>JB-10153</t>
  </si>
  <si>
    <t>JB-10004</t>
  </si>
  <si>
    <t>JB-10147</t>
  </si>
  <si>
    <t>JB-10181</t>
  </si>
  <si>
    <t>JB-10146</t>
  </si>
  <si>
    <t>JB-10068</t>
  </si>
  <si>
    <t>JB-10041</t>
  </si>
  <si>
    <t>JB-10173</t>
  </si>
  <si>
    <t>JB-10279</t>
  </si>
  <si>
    <t>JB-10238</t>
  </si>
  <si>
    <t>JB-10265</t>
  </si>
  <si>
    <t>JB-10277</t>
  </si>
  <si>
    <t>JB-10257</t>
  </si>
  <si>
    <t>JB-10252</t>
  </si>
  <si>
    <t>JB-10253</t>
  </si>
  <si>
    <t>JB-10256</t>
  </si>
  <si>
    <t>JB-10254</t>
  </si>
  <si>
    <t>JB-10255</t>
  </si>
  <si>
    <t>JB-10251</t>
  </si>
  <si>
    <t>JB-10211</t>
  </si>
  <si>
    <t>JB-10190</t>
  </si>
  <si>
    <t>AB10082</t>
  </si>
  <si>
    <t>JB-10229</t>
  </si>
  <si>
    <t>JB-10191</t>
  </si>
  <si>
    <t>JB-10221</t>
  </si>
  <si>
    <t>JB-10184</t>
  </si>
  <si>
    <t>AB10083</t>
  </si>
  <si>
    <t>JB-10104</t>
  </si>
  <si>
    <t>JB-10177</t>
  </si>
  <si>
    <t>AB10077</t>
  </si>
  <si>
    <t>JB-10180</t>
  </si>
  <si>
    <t>JB-10115</t>
  </si>
  <si>
    <t>JB-10055</t>
  </si>
  <si>
    <t>JB-10225</t>
  </si>
  <si>
    <t>JB-10139</t>
  </si>
  <si>
    <t>JB-10121</t>
  </si>
  <si>
    <t>JB-10036</t>
  </si>
  <si>
    <t>JB-10056</t>
  </si>
  <si>
    <t>AB10081</t>
  </si>
  <si>
    <t>JB-10188</t>
  </si>
  <si>
    <t>JB-10187</t>
  </si>
  <si>
    <t>JB-10057</t>
  </si>
  <si>
    <t>JB-10261</t>
  </si>
  <si>
    <t>JB-10262</t>
  </si>
  <si>
    <t>JB-10168</t>
  </si>
  <si>
    <t>JB-10241</t>
  </si>
  <si>
    <t>JB-10171</t>
  </si>
  <si>
    <t>JB-10172</t>
  </si>
  <si>
    <t>AB10089</t>
  </si>
  <si>
    <t>AB10032</t>
  </si>
  <si>
    <t>JB-10069</t>
  </si>
  <si>
    <t>JB-10138</t>
  </si>
  <si>
    <t>JB-10049</t>
  </si>
  <si>
    <t>JB-10117</t>
  </si>
  <si>
    <t>JB-10040</t>
  </si>
  <si>
    <t>JB-10051</t>
  </si>
  <si>
    <t>JB-10070</t>
  </si>
  <si>
    <t>JB-10160</t>
  </si>
  <si>
    <t>JB-10137</t>
  </si>
  <si>
    <t>JB-10007</t>
  </si>
  <si>
    <t>JB-10165</t>
  </si>
  <si>
    <t>JB-10113</t>
  </si>
  <si>
    <t>JB-10156</t>
  </si>
  <si>
    <t>JB-10159</t>
  </si>
  <si>
    <t>JB-10140</t>
  </si>
  <si>
    <t>JB-10163</t>
  </si>
  <si>
    <t>JB-10127</t>
  </si>
  <si>
    <t>JB-10065</t>
  </si>
  <si>
    <t>JB-10234</t>
  </si>
  <si>
    <t>JB-10248</t>
  </si>
  <si>
    <t>JB-10246</t>
  </si>
  <si>
    <t>JB-10152</t>
  </si>
  <si>
    <t>JB-10278</t>
  </si>
  <si>
    <t>JB-10183</t>
  </si>
  <si>
    <t>JB-10135</t>
  </si>
  <si>
    <t>AB10085</t>
  </si>
  <si>
    <t>AB10080</t>
  </si>
  <si>
    <t>AB10063</t>
  </si>
  <si>
    <t>AB10087</t>
  </si>
  <si>
    <t>AB10088</t>
  </si>
  <si>
    <t>AB10061</t>
  </si>
  <si>
    <t>AR-10150</t>
  </si>
  <si>
    <t>Leaving</t>
  </si>
  <si>
    <t>JB-10267</t>
  </si>
  <si>
    <t>PRATIK MURARI SUHASARIA</t>
  </si>
  <si>
    <t>Dinesh Maheshwari</t>
  </si>
  <si>
    <t>Khushboo Garge</t>
  </si>
  <si>
    <t>JB-10247</t>
  </si>
  <si>
    <t>SANIKA SANJAY DIVEKAR</t>
  </si>
  <si>
    <t>VARAD VILAS PRABHUDESAI</t>
  </si>
  <si>
    <t>NIKITA LILADHAR BHAVSAR</t>
  </si>
  <si>
    <t>SHRADDHA RAJARAM CHAVAN</t>
  </si>
  <si>
    <t>LDW 31-01-26</t>
  </si>
  <si>
    <t>LDW 30-01-26</t>
  </si>
  <si>
    <t>ANISHKA KHANDELWAL</t>
  </si>
  <si>
    <t>JB-10193</t>
  </si>
  <si>
    <t>SHRUTI LAXMAN SINGRI</t>
  </si>
  <si>
    <t>AB10092</t>
  </si>
  <si>
    <t>BGK009</t>
  </si>
  <si>
    <t>LDW 13-02-2026</t>
  </si>
  <si>
    <t>PAWAN PARAMESHWAR MALI</t>
  </si>
  <si>
    <t>JB-10283</t>
  </si>
  <si>
    <t>LDW</t>
  </si>
  <si>
    <t>JANIPALLI RAJANI MOHAN</t>
  </si>
  <si>
    <t>JB-10242</t>
  </si>
  <si>
    <t>Jaykumar Golani</t>
  </si>
  <si>
    <t>LWD 05-02-2026</t>
  </si>
  <si>
    <t>Maternity Leave since 12.02,2026</t>
  </si>
  <si>
    <t>Check Attendance</t>
  </si>
  <si>
    <t>Voucher for Two Months 8483/-</t>
  </si>
  <si>
    <t>Dinesh Maheshwari (ABNJ)</t>
  </si>
  <si>
    <t>Vikas Agarwal</t>
  </si>
  <si>
    <t>Diffrential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</si>
</sst>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 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3" fontId="3" fillId="0" borderId="1" xfId="0" applyNumberFormat="1" applyFont="1" applyBorder="1"/>
    <xf numFmtId="0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/>
    </xf>
    <xf numFmtId="0" fontId="4" fillId="0" borderId="1" xfId="0" applyFont="1" applyFill="1" applyBorder="1"/>
    <xf numFmtId="3" fontId="1" fillId="0" borderId="1" xfId="0" applyNumberFormat="1" applyFont="1" applyFill="1" applyBorder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nishk Maheshwari" refreshedDate="46079.493842939817" createdVersion="4" refreshedVersion="4" minRefreshableVersion="3" recordCount="180">
  <cacheSource type="worksheet">
    <worksheetSource ref="A1:W1048576" sheet="Sheet1"/>
  </cacheSource>
  <cacheFields count="23">
    <cacheField name="Kind Attention Person" numFmtId="0">
      <sharedItems containsBlank="1" count="25">
        <s v="Abhishek Sharma"/>
        <s v="Adish Talim"/>
        <s v="Aditya Sureka"/>
        <s v="Anil Agarwal"/>
        <s v="Balchandra Barde"/>
        <s v="Dinesh Maheshwari"/>
        <s v="John Nadar"/>
        <s v="Khushboo Garge"/>
        <s v="Kiran Kokare"/>
        <s v="Meena Gawand"/>
        <s v="Naresh Divekar"/>
        <s v="Pramod Pai"/>
        <s v="Rajesh Ghevariya"/>
        <s v="Raman Popli"/>
        <s v="Ranjit Dash"/>
        <s v="Sagar Thumma"/>
        <s v="Sanjay Jain"/>
        <s v="Sneha Randeo"/>
        <s v="Steve Saldhana"/>
        <s v="Vidhya Dhamankar"/>
        <s v="Vijay Sanas"/>
        <s v="Vishal Talreja"/>
        <s v="Vrajesh Shah"/>
        <m/>
        <s v="Dinesh Maheshwari (ABNJ)" u="1"/>
      </sharedItems>
    </cacheField>
    <cacheField name="Employee Name" numFmtId="0">
      <sharedItems containsBlank="1"/>
    </cacheField>
    <cacheField name="Employee Code" numFmtId="0">
      <sharedItems containsBlank="1"/>
    </cacheField>
    <cacheField name="Company Name" numFmtId="0">
      <sharedItems containsBlank="1" count="4">
        <s v="Jobuss"/>
        <s v="Aradhya"/>
        <s v="ABNJ"/>
        <m/>
      </sharedItems>
    </cacheField>
    <cacheField name="Date of Joining" numFmtId="0">
      <sharedItems containsDate="1" containsBlank="1" containsMixedTypes="1" minDate="2023-11-30T00:00:00" maxDate="2026-02-24T00:00:00"/>
    </cacheField>
    <cacheField name="LDW" numFmtId="0">
      <sharedItems containsNonDate="0" containsDate="1" containsString="0" containsBlank="1" minDate="2026-01-30T00:00:00" maxDate="2026-02-14T00:00:00"/>
    </cacheField>
    <cacheField name="Employee Type" numFmtId="0">
      <sharedItems containsBlank="1"/>
    </cacheField>
    <cacheField name="Working At" numFmtId="0">
      <sharedItems containsBlank="1"/>
    </cacheField>
    <cacheField name="Position" numFmtId="0">
      <sharedItems containsBlank="1"/>
    </cacheField>
    <cacheField name="Reporting Person" numFmtId="0">
      <sharedItems containsBlank="1"/>
    </cacheField>
    <cacheField name="Billing" numFmtId="0">
      <sharedItems containsString="0" containsBlank="1" containsNumber="1" minValue="13500" maxValue="137520"/>
    </cacheField>
    <cacheField name="Salary" numFmtId="0">
      <sharedItems containsString="0" containsBlank="1" containsNumber="1" minValue="13500" maxValue="137520"/>
    </cacheField>
    <cacheField name="Diff" numFmtId="0">
      <sharedItems containsString="0" containsBlank="1" containsNumber="1" containsInteger="1" minValue="-10835" maxValue="30000"/>
    </cacheField>
    <cacheField name="Billing Cycle" numFmtId="0">
      <sharedItems containsBlank="1"/>
    </cacheField>
    <cacheField name="Workweek" numFmtId="0">
      <sharedItems containsBlank="1"/>
    </cacheField>
    <cacheField name="No of Holidays" numFmtId="0">
      <sharedItems containsBlank="1" containsMixedTypes="1" containsNumber="1" containsInteger="1" minValue="0" maxValue="3"/>
    </cacheField>
    <cacheField name="Total Present" numFmtId="0">
      <sharedItems containsString="0" containsBlank="1" containsNumber="1" minValue="2" maxValue="25"/>
    </cacheField>
    <cacheField name="Absents this Month" numFmtId="0">
      <sharedItems containsBlank="1" containsMixedTypes="1" containsNumber="1" minValue="0" maxValue="11.5"/>
    </cacheField>
    <cacheField name="Adjustment of Days" numFmtId="0">
      <sharedItems containsBlank="1" containsMixedTypes="1" containsNumber="1" containsInteger="1" minValue="0" maxValue="5"/>
    </cacheField>
    <cacheField name="Out of Pocket Exp" numFmtId="0">
      <sharedItems containsBlank="1" containsMixedTypes="1" containsNumber="1" containsInteger="1" minValue="0" maxValue="860"/>
    </cacheField>
    <cacheField name="Arrears" numFmtId="0">
      <sharedItems containsNonDate="0" containsString="0" containsBlank="1"/>
    </cacheField>
    <cacheField name="GST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x v="0"/>
    <s v="PARIMAL DHANRAJ BORADE"/>
    <s v="JB-10267"/>
    <x v="0"/>
    <s v="19/01/2026"/>
    <m/>
    <s v="Existing"/>
    <s v="Reliance Industries Ltd"/>
    <s v="Manager"/>
    <m/>
    <n v="87500"/>
    <n v="87500"/>
    <n v="0"/>
    <s v="1st to 31st"/>
    <s v="5 day"/>
    <m/>
    <m/>
    <m/>
    <m/>
    <m/>
    <m/>
    <s v="CGST/SGST"/>
    <m/>
  </r>
  <r>
    <x v="1"/>
    <s v="AADITYA VIJAY GOPALANI"/>
    <s v="JB-10143"/>
    <x v="0"/>
    <s v="01/09/2024"/>
    <m/>
    <s v="Existing"/>
    <s v="Reliance Industries Ltd"/>
    <s v="Executive"/>
    <m/>
    <n v="40800"/>
    <n v="40800"/>
    <n v="0"/>
    <s v="21st to 20th"/>
    <s v="5 day"/>
    <n v="1"/>
    <n v="22"/>
    <n v="0"/>
    <n v="0"/>
    <m/>
    <m/>
    <s v="CGST/SGST"/>
    <m/>
  </r>
  <r>
    <x v="1"/>
    <s v="ABHINANDAN JITENDRA SINGH"/>
    <s v="AR-10136"/>
    <x v="1"/>
    <s v="11/08/2022"/>
    <m/>
    <s v="Existing"/>
    <s v="Reliance Industries Ltd"/>
    <s v="Executive"/>
    <m/>
    <n v="45154"/>
    <n v="45154"/>
    <n v="0"/>
    <s v="21st to 20th"/>
    <s v="5 day"/>
    <n v="1"/>
    <n v="22"/>
    <n v="0"/>
    <n v="0"/>
    <m/>
    <m/>
    <s v="CGST/SGST"/>
    <m/>
  </r>
  <r>
    <x v="1"/>
    <s v="ABHISHEK GUPTA"/>
    <s v="JB-10014"/>
    <x v="0"/>
    <s v="16/04/2021"/>
    <m/>
    <s v="Existing"/>
    <s v="Reliance Industries Ltd"/>
    <s v="Executive"/>
    <m/>
    <n v="43870"/>
    <n v="43870"/>
    <n v="0"/>
    <s v="21st to 20th"/>
    <s v="5 day"/>
    <n v="1"/>
    <n v="22"/>
    <n v="0"/>
    <n v="0"/>
    <m/>
    <m/>
    <s v="CGST/SGST"/>
    <m/>
  </r>
  <r>
    <x v="1"/>
    <s v="ARUMUGAM PERIASWAMY DEVENDRAN"/>
    <s v="JB-10011"/>
    <x v="0"/>
    <s v="25/01/2021"/>
    <m/>
    <s v="Existing"/>
    <s v="Reliance Industries Ltd"/>
    <s v="Executive"/>
    <m/>
    <n v="45150"/>
    <n v="45150"/>
    <n v="0"/>
    <s v="21st to 20th"/>
    <s v="5 day"/>
    <n v="1"/>
    <n v="22"/>
    <n v="0"/>
    <n v="0"/>
    <m/>
    <m/>
    <s v="CGST/SGST"/>
    <m/>
  </r>
  <r>
    <x v="1"/>
    <s v="ASHISH BANSHIDHAR RAI"/>
    <s v="AR-10145"/>
    <x v="1"/>
    <s v="05/09/2022"/>
    <m/>
    <s v="Existing"/>
    <s v="Reliance Industries Ltd"/>
    <s v="Executive"/>
    <m/>
    <n v="44993"/>
    <n v="44993"/>
    <n v="0"/>
    <s v="21st to 20th"/>
    <s v="5 day"/>
    <n v="1"/>
    <n v="22"/>
    <n v="0"/>
    <n v="0"/>
    <m/>
    <m/>
    <s v="CGST/SGST"/>
    <m/>
  </r>
  <r>
    <x v="1"/>
    <s v="ASHUTOSH ANILKUMAR PATIL"/>
    <s v="JB-10089"/>
    <x v="0"/>
    <s v="30/10/2023"/>
    <m/>
    <s v="Existing"/>
    <s v="Reliance Industries Ltd"/>
    <s v="Executive"/>
    <m/>
    <n v="42848"/>
    <n v="42848"/>
    <n v="0"/>
    <s v="21st to 20th"/>
    <s v="5 day"/>
    <n v="1"/>
    <n v="22"/>
    <n v="0"/>
    <n v="0"/>
    <m/>
    <m/>
    <s v="CGST/SGST"/>
    <m/>
  </r>
  <r>
    <x v="1"/>
    <s v="DEEPAK KUMAR SRIVASTAVA"/>
    <s v="JB-10178"/>
    <x v="0"/>
    <s v="20/05/2025"/>
    <m/>
    <s v="Existing"/>
    <s v="Reliance Industries Ltd"/>
    <s v="Executive"/>
    <m/>
    <n v="39000"/>
    <n v="39000"/>
    <n v="0"/>
    <s v="21st to 20th"/>
    <s v="5 day"/>
    <n v="1"/>
    <n v="22"/>
    <n v="0"/>
    <n v="0"/>
    <m/>
    <m/>
    <s v="CGST/SGST"/>
    <m/>
  </r>
  <r>
    <x v="1"/>
    <s v="GANESH BHAGWAN KHADKE"/>
    <s v="JB-10009"/>
    <x v="0"/>
    <s v="30/11/2020"/>
    <m/>
    <s v="Existing"/>
    <s v="Reliance Industries Ltd"/>
    <s v="Executive"/>
    <m/>
    <n v="40660"/>
    <n v="40660"/>
    <n v="0"/>
    <s v="21st to 20th"/>
    <s v="5 day"/>
    <n v="1"/>
    <n v="22"/>
    <n v="0"/>
    <n v="0"/>
    <m/>
    <m/>
    <s v="CGST/SGST"/>
    <m/>
  </r>
  <r>
    <x v="1"/>
    <s v="HARSHALI RAMESH KOLI"/>
    <s v="JB-10015"/>
    <x v="0"/>
    <s v="27/04/2021"/>
    <m/>
    <s v="Existing"/>
    <s v="Reliance Industries Ltd"/>
    <s v="Executive"/>
    <m/>
    <n v="35700"/>
    <n v="35700"/>
    <n v="0"/>
    <s v="21st to 20th"/>
    <s v="5 day"/>
    <n v="1"/>
    <n v="22"/>
    <n v="0"/>
    <n v="0"/>
    <m/>
    <m/>
    <s v="CGST/SGST"/>
    <m/>
  </r>
  <r>
    <x v="1"/>
    <s v="JAI KUNAL"/>
    <s v="JB-10085"/>
    <x v="0"/>
    <s v="11/09/2023"/>
    <m/>
    <s v="Existing"/>
    <s v="Reliance Industries Ltd"/>
    <s v="Executive"/>
    <m/>
    <n v="41798"/>
    <n v="41798"/>
    <n v="0"/>
    <s v="21st to 20th"/>
    <s v="5 day"/>
    <n v="1"/>
    <n v="22"/>
    <n v="0"/>
    <n v="0"/>
    <m/>
    <m/>
    <s v="CGST/SGST"/>
    <m/>
  </r>
  <r>
    <x v="1"/>
    <s v="KARAN JOGEANDER SINGH"/>
    <s v="JB-10167"/>
    <x v="0"/>
    <s v="22/01/2025"/>
    <m/>
    <s v="Existing"/>
    <s v="Reliance Industries Ltd"/>
    <s v="Executive"/>
    <m/>
    <n v="36800"/>
    <n v="36800"/>
    <n v="0"/>
    <s v="21st to 20th"/>
    <s v="5 day"/>
    <n v="1"/>
    <n v="22"/>
    <n v="0"/>
    <n v="0"/>
    <m/>
    <m/>
    <s v="CGST/SGST"/>
    <m/>
  </r>
  <r>
    <x v="1"/>
    <s v="KIRTI SALASKAR"/>
    <s v="JB-10260"/>
    <x v="0"/>
    <s v="25/12/2025"/>
    <m/>
    <s v="Existing"/>
    <s v="Reliance Industries Ltd"/>
    <s v="Executive"/>
    <m/>
    <n v="30000"/>
    <m/>
    <n v="30000"/>
    <s v="21st to 20th"/>
    <s v="5 day"/>
    <n v="1"/>
    <n v="22"/>
    <n v="0"/>
    <n v="0"/>
    <m/>
    <m/>
    <s v="CGST/SGST"/>
    <m/>
  </r>
  <r>
    <x v="1"/>
    <s v="MANASA CHANDRABABU NAIDU RAVILLA"/>
    <s v="JB-10169"/>
    <x v="0"/>
    <s v="02/03/2025"/>
    <m/>
    <s v="Existing"/>
    <s v="Reliance Industries Ltd"/>
    <s v="Executive"/>
    <m/>
    <n v="49522"/>
    <n v="49522"/>
    <n v="0"/>
    <s v="21st to 20th"/>
    <s v="5 day"/>
    <n v="1"/>
    <n v="22"/>
    <n v="0"/>
    <n v="0"/>
    <m/>
    <m/>
    <s v="CGST/SGST"/>
    <m/>
  </r>
  <r>
    <x v="1"/>
    <s v="MANSI GOEL"/>
    <s v="JB-10025"/>
    <x v="0"/>
    <s v="08/11/2021"/>
    <m/>
    <s v="Existing"/>
    <s v="Reliance Industries Ltd"/>
    <s v="Executive"/>
    <m/>
    <n v="37985"/>
    <n v="37985"/>
    <n v="0"/>
    <s v="21st to 20th"/>
    <s v="5 day"/>
    <n v="1"/>
    <n v="22"/>
    <n v="0"/>
    <n v="0"/>
    <m/>
    <m/>
    <s v="CGST/SGST"/>
    <m/>
  </r>
  <r>
    <x v="1"/>
    <s v="NIKHILESH RAMSAHAI VISHWAKARMA"/>
    <s v="JB-10197"/>
    <x v="0"/>
    <s v="23/06/2025"/>
    <m/>
    <s v="Existing"/>
    <s v="Reliance Industries Ltd"/>
    <s v="Executive"/>
    <m/>
    <n v="33800"/>
    <n v="33800"/>
    <n v="0"/>
    <s v="21st to 20th"/>
    <s v="5 day"/>
    <n v="1"/>
    <n v="22"/>
    <n v="0"/>
    <n v="0"/>
    <m/>
    <m/>
    <s v="CGST/SGST"/>
    <m/>
  </r>
  <r>
    <x v="1"/>
    <s v="PANKAJ GUSAIN"/>
    <s v="JB-10016"/>
    <x v="0"/>
    <s v="12/05/2021"/>
    <d v="2026-02-13T00:00:00"/>
    <s v="Leaving"/>
    <s v="Reliance Industries Ltd"/>
    <s v="Executive"/>
    <m/>
    <n v="36400"/>
    <n v="36400"/>
    <n v="0"/>
    <s v="21st to 20th"/>
    <s v="5 day"/>
    <n v="1"/>
    <n v="17"/>
    <n v="0"/>
    <n v="0"/>
    <m/>
    <m/>
    <s v="CGST/SGST"/>
    <s v="LDW 13-02-2026"/>
  </r>
  <r>
    <x v="1"/>
    <s v="RAGHAV MANGLIK"/>
    <s v="JB-10080"/>
    <x v="0"/>
    <s v="10/08/2023"/>
    <m/>
    <s v="Existing"/>
    <s v="Reliance Industries Ltd"/>
    <s v="Executive"/>
    <m/>
    <n v="39698"/>
    <n v="39698"/>
    <n v="0"/>
    <s v="21st to 20th"/>
    <s v="5 day"/>
    <n v="1"/>
    <n v="22"/>
    <n v="0"/>
    <n v="0"/>
    <m/>
    <m/>
    <s v="CGST/SGST"/>
    <m/>
  </r>
  <r>
    <x v="1"/>
    <s v="RAJKUMAR SIDRAM GAIKWAD"/>
    <s v="JB-10026"/>
    <x v="0"/>
    <s v="08/11/2021"/>
    <m/>
    <s v="Existing"/>
    <s v="Reliance Industries Ltd"/>
    <s v="Executive"/>
    <m/>
    <n v="37985"/>
    <n v="37985"/>
    <n v="0"/>
    <s v="21st to 20th"/>
    <s v="5 day"/>
    <n v="1"/>
    <n v="22"/>
    <n v="0"/>
    <n v="0"/>
    <m/>
    <m/>
    <s v="CGST/SGST"/>
    <m/>
  </r>
  <r>
    <x v="1"/>
    <s v="RAM PRAKASH PATIL"/>
    <s v="JB-10084"/>
    <x v="0"/>
    <s v="01/09/2023"/>
    <m/>
    <s v="Existing"/>
    <s v="Reliance Industries Ltd"/>
    <s v="Executive"/>
    <m/>
    <n v="40748"/>
    <n v="40748"/>
    <n v="0"/>
    <s v="21st to 20th"/>
    <s v="5 day"/>
    <n v="1"/>
    <n v="22"/>
    <n v="0"/>
    <n v="0"/>
    <m/>
    <m/>
    <s v="CGST/SGST"/>
    <m/>
  </r>
  <r>
    <x v="1"/>
    <s v="SANCHIT KACHALE"/>
    <s v="JB-10133"/>
    <x v="0"/>
    <s v="21/07/2025"/>
    <m/>
    <s v="Existing"/>
    <s v="Reliance Industries Ltd"/>
    <s v="Executive"/>
    <m/>
    <n v="34570"/>
    <n v="34570"/>
    <n v="0"/>
    <s v="21st to 20th"/>
    <s v="5 day"/>
    <n v="1"/>
    <n v="22"/>
    <n v="0"/>
    <n v="0"/>
    <m/>
    <m/>
    <s v="CGST/SGST"/>
    <m/>
  </r>
  <r>
    <x v="1"/>
    <s v="SANTOSH NAMDEV WAGHMARE"/>
    <s v="JB-10170"/>
    <x v="0"/>
    <s v="20/01/2025"/>
    <m/>
    <s v="Existing"/>
    <s v="Reliance Industries Ltd"/>
    <s v="Executive"/>
    <m/>
    <n v="41800"/>
    <n v="41800"/>
    <n v="0"/>
    <s v="21st to 20th"/>
    <s v="5 day"/>
    <n v="1"/>
    <n v="22"/>
    <n v="0"/>
    <n v="0"/>
    <m/>
    <m/>
    <s v="CGST/SGST"/>
    <m/>
  </r>
  <r>
    <x v="1"/>
    <s v="SHIVANI SURESH SHARMA"/>
    <s v="JB-10176"/>
    <x v="0"/>
    <s v="28/04/2025"/>
    <m/>
    <s v="Existing"/>
    <s v="Reliance Industries Ltd"/>
    <s v="Executive"/>
    <m/>
    <n v="38762"/>
    <n v="38762"/>
    <n v="0"/>
    <s v="21st to 20th"/>
    <s v="5 day"/>
    <n v="1"/>
    <n v="22"/>
    <n v="0"/>
    <n v="0"/>
    <m/>
    <m/>
    <s v="CGST/SGST"/>
    <m/>
  </r>
  <r>
    <x v="1"/>
    <s v="SHUBHAM SANJAY KUWALEKAR"/>
    <s v="JB-10230"/>
    <x v="0"/>
    <s v="22/09/2025"/>
    <m/>
    <s v="Existing"/>
    <s v="Reliance Industries Ltd"/>
    <s v="Executive"/>
    <m/>
    <n v="32570"/>
    <n v="32570"/>
    <n v="0"/>
    <s v="21st to 20th"/>
    <s v="5 day"/>
    <n v="1"/>
    <n v="22"/>
    <n v="0"/>
    <n v="0"/>
    <m/>
    <m/>
    <s v="CGST/SGST"/>
    <m/>
  </r>
  <r>
    <x v="1"/>
    <s v="SHWETA GAJANAN GOSAVI"/>
    <s v="JB-10119"/>
    <x v="0"/>
    <s v="22/04/2024"/>
    <m/>
    <s v="Existing"/>
    <s v="Reliance Industries Ltd"/>
    <s v="Executive"/>
    <m/>
    <n v="41667"/>
    <n v="41667"/>
    <n v="0"/>
    <s v="21st to 20th"/>
    <s v="5 day"/>
    <n v="1"/>
    <n v="22"/>
    <n v="0"/>
    <n v="0"/>
    <m/>
    <m/>
    <s v="CGST/SGST"/>
    <m/>
  </r>
  <r>
    <x v="1"/>
    <s v="SNEHA PRAVIN SHINDE"/>
    <s v="JB-10019"/>
    <x v="0"/>
    <s v="03/08/2021"/>
    <m/>
    <s v="Existing"/>
    <s v="Reliance Industries Ltd"/>
    <s v="Executive"/>
    <m/>
    <n v="31447"/>
    <n v="31447"/>
    <n v="0"/>
    <s v="21st to 20th"/>
    <s v="5 day"/>
    <n v="1"/>
    <n v="22"/>
    <n v="0"/>
    <n v="0"/>
    <m/>
    <m/>
    <s v="CGST/SGST"/>
    <m/>
  </r>
  <r>
    <x v="1"/>
    <s v="SNEHA TIWARI"/>
    <s v="JB-10076"/>
    <x v="0"/>
    <s v="01/06/2023"/>
    <m/>
    <s v="Existing"/>
    <s v="Reliance Industries Ltd"/>
    <s v="Executive"/>
    <m/>
    <n v="35971"/>
    <n v="35971"/>
    <n v="0"/>
    <s v="21st to 20th"/>
    <s v="5 day"/>
    <n v="1"/>
    <n v="22"/>
    <n v="0"/>
    <n v="0"/>
    <m/>
    <m/>
    <s v="CGST/SGST"/>
    <m/>
  </r>
  <r>
    <x v="1"/>
    <s v="SURYAKANTA SAHOO"/>
    <s v="JB-10141"/>
    <x v="0"/>
    <s v="12/08/2024"/>
    <m/>
    <s v="Existing"/>
    <s v="Reliance Industries Ltd"/>
    <s v="Executive"/>
    <m/>
    <n v="53272"/>
    <n v="53272"/>
    <n v="0"/>
    <s v="21st to 20th"/>
    <s v="5 day"/>
    <n v="1"/>
    <n v="22"/>
    <n v="0"/>
    <n v="0"/>
    <m/>
    <m/>
    <s v="CGST/SGST"/>
    <m/>
  </r>
  <r>
    <x v="1"/>
    <s v="SUSMITA TUSHAR PATOLE"/>
    <s v="JB-10088"/>
    <x v="0"/>
    <s v="11/10/2023"/>
    <m/>
    <s v="Existing"/>
    <s v="Reliance Industries Ltd"/>
    <s v="Executive"/>
    <m/>
    <n v="37598"/>
    <n v="37598"/>
    <n v="0"/>
    <s v="21st to 20th"/>
    <s v="5 day"/>
    <n v="1"/>
    <n v="22"/>
    <n v="0"/>
    <n v="0"/>
    <m/>
    <m/>
    <s v="CGST/SGST"/>
    <m/>
  </r>
  <r>
    <x v="1"/>
    <s v="URVIJA VINU PATIL"/>
    <s v="JB-10182"/>
    <x v="0"/>
    <s v="27/05/2025"/>
    <m/>
    <s v="Existing"/>
    <s v="Reliance Industries Ltd"/>
    <s v="Executive"/>
    <m/>
    <n v="38800"/>
    <n v="38800"/>
    <n v="0"/>
    <s v="21st to 20th"/>
    <s v="5 day"/>
    <n v="1"/>
    <n v="22"/>
    <n v="0"/>
    <n v="0"/>
    <m/>
    <m/>
    <s v="CGST/SGST"/>
    <m/>
  </r>
  <r>
    <x v="1"/>
    <s v="PAWAN PARAMESHWAR MALI"/>
    <s v="JB-10283"/>
    <x v="0"/>
    <d v="2026-02-16T00:00:00"/>
    <m/>
    <s v="New Joiner"/>
    <s v="Reliance Industries Ltd"/>
    <s v="Executive"/>
    <m/>
    <n v="38106"/>
    <n v="38106"/>
    <n v="0"/>
    <s v="21st to 20th"/>
    <s v="5 day"/>
    <n v="0"/>
    <n v="5"/>
    <n v="0"/>
    <n v="0"/>
    <m/>
    <m/>
    <s v="CGST/SGST"/>
    <s v="New Joiner"/>
  </r>
  <r>
    <x v="2"/>
    <s v="Jignesh Hindlekar"/>
    <s v="AR-10153"/>
    <x v="1"/>
    <s v="05/01/2026"/>
    <m/>
    <s v="Existing"/>
    <s v="Individual Learning Ltd"/>
    <s v="Manager"/>
    <m/>
    <n v="112500"/>
    <n v="112500"/>
    <n v="0"/>
    <s v="1st to 31st"/>
    <s v="5 day"/>
    <n v="1"/>
    <n v="18"/>
    <n v="1"/>
    <n v="1"/>
    <m/>
    <m/>
    <s v="IGST"/>
    <m/>
  </r>
  <r>
    <x v="2"/>
    <s v="SRIKANTH PS"/>
    <s v="AR-10150"/>
    <x v="1"/>
    <s v="18/09/2025"/>
    <m/>
    <s v="Existing"/>
    <s v="Individual Learning Ltd"/>
    <s v="Executive"/>
    <m/>
    <n v="65000"/>
    <n v="65000"/>
    <n v="0"/>
    <s v="1st to 31st"/>
    <s v="5 day"/>
    <n v="1"/>
    <n v="17"/>
    <n v="2"/>
    <n v="2"/>
    <m/>
    <m/>
    <s v="IGST"/>
    <m/>
  </r>
  <r>
    <x v="3"/>
    <s v="ANIL SHANKAR JADHAV"/>
    <s v="AR-10012"/>
    <x v="1"/>
    <s v="01/04/2018"/>
    <m/>
    <s v="Existing"/>
    <s v="Reliance Industries Ltd"/>
    <s v="Executive"/>
    <s v="Manesh Deshmukh"/>
    <n v="24525"/>
    <n v="24525"/>
    <n v="0"/>
    <s v="21st to 20th"/>
    <s v="5 day"/>
    <n v="1"/>
    <n v="22"/>
    <n v="0"/>
    <n v="0"/>
    <m/>
    <m/>
    <s v="CGST/SGST"/>
    <m/>
  </r>
  <r>
    <x v="3"/>
    <s v="RITESH KUMAR KORJAL"/>
    <s v="AR-10147"/>
    <x v="1"/>
    <s v="01/05/2024"/>
    <m/>
    <s v="Existing"/>
    <s v="Reliance Industries Ltd"/>
    <s v="Executive"/>
    <s v="Maneesh Agarwal"/>
    <n v="39530"/>
    <n v="39530"/>
    <n v="0"/>
    <s v="21st to 20th"/>
    <s v="5 day"/>
    <n v="1"/>
    <n v="22"/>
    <n v="0"/>
    <n v="0"/>
    <m/>
    <m/>
    <s v="CGST/SGST"/>
    <m/>
  </r>
  <r>
    <x v="3"/>
    <s v="DEEPIKA UMESH JHA"/>
    <s v="AR-10149"/>
    <x v="1"/>
    <s v="03/10/2024"/>
    <m/>
    <s v="Existing"/>
    <s v="Reliance Industries Ltd"/>
    <s v="Executive"/>
    <s v="Pawan Kabra"/>
    <n v="27800"/>
    <n v="27800"/>
    <n v="0"/>
    <s v="21st to 20th"/>
    <s v="5 day"/>
    <n v="1"/>
    <n v="22"/>
    <n v="0"/>
    <n v="0"/>
    <m/>
    <m/>
    <s v="CGST/SGST"/>
    <m/>
  </r>
  <r>
    <x v="3"/>
    <s v="CHAITRALI SURESH SURVE"/>
    <s v="JB-10001"/>
    <x v="0"/>
    <s v="17/04/2018"/>
    <d v="2026-01-31T00:00:00"/>
    <s v="Leaving"/>
    <s v="Reliance Industries Ltd"/>
    <s v="Executive"/>
    <s v="Vilas Gawade"/>
    <n v="23375"/>
    <n v="23375"/>
    <n v="0"/>
    <s v="21st to 20th"/>
    <s v="5 day"/>
    <n v="1"/>
    <n v="8"/>
    <n v="0"/>
    <n v="0"/>
    <m/>
    <m/>
    <s v="CGST/SGST"/>
    <s v="LDW 31-01-26"/>
  </r>
  <r>
    <x v="3"/>
    <s v="JYOTI DATTARAM SHINDE"/>
    <s v="JB-10002"/>
    <x v="0"/>
    <s v="17/04/2018"/>
    <m/>
    <s v="Existing"/>
    <s v="Reliance Industries Ltd"/>
    <s v="Executive"/>
    <s v="Vilas Gawade"/>
    <n v="24544"/>
    <n v="24544"/>
    <n v="0"/>
    <s v="21st to 20th"/>
    <s v="5 day"/>
    <n v="1"/>
    <n v="22"/>
    <n v="0"/>
    <n v="0"/>
    <m/>
    <m/>
    <s v="CGST/SGST"/>
    <m/>
  </r>
  <r>
    <x v="3"/>
    <s v="MOHAMMAD RIZWAN ANSARI"/>
    <s v="JB-10003"/>
    <x v="0"/>
    <s v="17/04/2018"/>
    <m/>
    <s v="Existing"/>
    <s v="Reliance Industries Ltd"/>
    <s v="Executive"/>
    <s v="Mukul Agarwal"/>
    <n v="44138"/>
    <n v="54973"/>
    <n v="-10835"/>
    <s v="21st to 20th"/>
    <s v="5 day"/>
    <n v="1"/>
    <n v="22"/>
    <n v="0"/>
    <n v="0"/>
    <m/>
    <m/>
    <s v="CGST/SGST"/>
    <m/>
  </r>
  <r>
    <x v="3"/>
    <s v="SOMNATH KALU GHORPADE"/>
    <s v="JB-10004"/>
    <x v="0"/>
    <s v="17/04/2018"/>
    <m/>
    <s v="Existing"/>
    <s v="Reliance Industries Ltd"/>
    <s v="Executive"/>
    <s v="Mukul Agarwal"/>
    <n v="43313"/>
    <n v="43313"/>
    <n v="0"/>
    <s v="21st to 20th"/>
    <s v="5 day"/>
    <n v="1"/>
    <n v="22"/>
    <n v="0"/>
    <n v="0"/>
    <m/>
    <m/>
    <s v="CGST/SGST"/>
    <m/>
  </r>
  <r>
    <x v="3"/>
    <s v="POOJA CHANDRAKANT BHAVKE"/>
    <s v="JB-10005"/>
    <x v="0"/>
    <s v="02/07/2018"/>
    <m/>
    <s v="Existing"/>
    <s v="Reliance Industries Ltd"/>
    <s v="Executive"/>
    <s v="Manesh Deshmukh"/>
    <n v="43346"/>
    <n v="43346"/>
    <n v="0"/>
    <s v="21st to 20th"/>
    <s v="5 day"/>
    <n v="1"/>
    <n v="22"/>
    <n v="0"/>
    <n v="0"/>
    <m/>
    <m/>
    <s v="CGST/SGST"/>
    <m/>
  </r>
  <r>
    <x v="3"/>
    <s v="AJAY BALKRISHNA KALVIKATTE"/>
    <s v="JB-10006"/>
    <x v="0"/>
    <s v="14/02/2019"/>
    <m/>
    <s v="Existing"/>
    <s v="Reliance Industries Ltd"/>
    <s v="Executive"/>
    <s v="Manish Agarwal"/>
    <n v="36000"/>
    <n v="36000"/>
    <n v="0"/>
    <s v="21st to 20th"/>
    <s v="5 day"/>
    <n v="1"/>
    <n v="22"/>
    <n v="0"/>
    <n v="0"/>
    <m/>
    <m/>
    <s v="CGST/SGST"/>
    <m/>
  </r>
  <r>
    <x v="3"/>
    <s v="ASHISH ASHOK SARVANKAR"/>
    <s v="JB-10010"/>
    <x v="0"/>
    <s v="19/01/2021"/>
    <m/>
    <s v="Existing"/>
    <s v="Reliance Industries Ltd"/>
    <s v="Executive"/>
    <s v="Anand Prakash"/>
    <n v="34650"/>
    <n v="34650"/>
    <n v="0"/>
    <s v="21st to 20th"/>
    <s v="5 day"/>
    <n v="1"/>
    <n v="22"/>
    <n v="0"/>
    <n v="0"/>
    <m/>
    <m/>
    <s v="CGST/SGST"/>
    <m/>
  </r>
  <r>
    <x v="3"/>
    <s v="AVINASH MARUTI PAWAR"/>
    <s v="JB-10247"/>
    <x v="0"/>
    <s v="03/12/2025"/>
    <m/>
    <s v="Existing"/>
    <s v="Reliance Industries Ltd"/>
    <s v="Executive"/>
    <s v="Anand Prakash/Navin Sherman"/>
    <n v="39500"/>
    <n v="39500"/>
    <n v="0"/>
    <s v="21st to 20th"/>
    <s v="5 day"/>
    <n v="1"/>
    <n v="22"/>
    <n v="0"/>
    <n v="0"/>
    <m/>
    <m/>
    <s v="CGST/SGST"/>
    <m/>
  </r>
  <r>
    <x v="3"/>
    <s v="GULAB HANUMANTA KADAM"/>
    <s v="JB-10024"/>
    <x v="0"/>
    <s v="01/11/2021"/>
    <m/>
    <s v="Existing"/>
    <s v="Reliance Industries Ltd"/>
    <s v="Executive"/>
    <s v="Saravana S"/>
    <n v="29975"/>
    <n v="29975"/>
    <n v="0"/>
    <s v="21st to 20th"/>
    <s v="5 day"/>
    <n v="1"/>
    <n v="22"/>
    <n v="0"/>
    <n v="0"/>
    <m/>
    <m/>
    <s v="CGST/SGST"/>
    <m/>
  </r>
  <r>
    <x v="3"/>
    <s v="RITESH SHAILESH CHAURASIYA"/>
    <s v="JB-10030"/>
    <x v="0"/>
    <s v="17/01/2022"/>
    <m/>
    <s v="Existing"/>
    <s v="Reliance Industries Ltd"/>
    <s v="Executive"/>
    <s v="Ashish Mahapatra"/>
    <n v="47187"/>
    <n v="47187"/>
    <n v="0"/>
    <s v="21st to 20th"/>
    <s v="5 day"/>
    <n v="1"/>
    <n v="22"/>
    <n v="0"/>
    <n v="0"/>
    <m/>
    <m/>
    <s v="CGST/SGST"/>
    <m/>
  </r>
  <r>
    <x v="3"/>
    <s v="BHUSHAN SUNIL ZAREKAR"/>
    <s v="JB-10032"/>
    <x v="0"/>
    <s v="02/02/2022"/>
    <m/>
    <s v="Existing"/>
    <s v="Reliance Industries Ltd"/>
    <s v="Executive"/>
    <s v="suresh kumar"/>
    <n v="24155"/>
    <n v="24155"/>
    <n v="0"/>
    <s v="21st to 20th"/>
    <s v="5 day"/>
    <n v="1"/>
    <n v="22"/>
    <n v="0"/>
    <n v="0"/>
    <m/>
    <m/>
    <s v="CGST/SGST"/>
    <m/>
  </r>
  <r>
    <x v="3"/>
    <s v="MEGHNA DESAI"/>
    <s v="JB-10033"/>
    <x v="0"/>
    <s v="14/02/2022"/>
    <m/>
    <s v="Existing"/>
    <s v="Reliance Industries Ltd"/>
    <s v="Executive"/>
    <s v="Pavan Kabra"/>
    <n v="32046"/>
    <n v="32046"/>
    <n v="0"/>
    <s v="21st to 20th"/>
    <s v="5 day"/>
    <n v="1"/>
    <n v="22"/>
    <n v="0"/>
    <n v="0"/>
    <m/>
    <m/>
    <s v="CGST/SGST"/>
    <m/>
  </r>
  <r>
    <x v="3"/>
    <s v="SUMIT SUDAM SHINDE"/>
    <s v="JB-10041"/>
    <x v="0"/>
    <s v="01/05/2022"/>
    <m/>
    <s v="Existing"/>
    <s v="Reliance Industries Ltd"/>
    <s v="Executive"/>
    <s v="Jyoti Jain"/>
    <n v="22890"/>
    <n v="22890"/>
    <n v="0"/>
    <s v="21st to 20th"/>
    <s v="5 day"/>
    <n v="1"/>
    <n v="22"/>
    <n v="0"/>
    <n v="0"/>
    <m/>
    <m/>
    <s v="CGST/SGST"/>
    <m/>
  </r>
  <r>
    <x v="3"/>
    <s v="DATTATRAY MADHUKAR GAIKWAD"/>
    <s v="JB-10044"/>
    <x v="0"/>
    <s v="01/06/2022"/>
    <m/>
    <s v="Existing"/>
    <s v="Reliance Industries Ltd"/>
    <s v="Executive"/>
    <s v="Anand Prakash"/>
    <n v="32525.5"/>
    <n v="32525.5"/>
    <n v="0"/>
    <s v="21st to 20th"/>
    <s v="5 day"/>
    <n v="1"/>
    <n v="22"/>
    <n v="0"/>
    <n v="0"/>
    <m/>
    <m/>
    <s v="CGST/SGST"/>
    <m/>
  </r>
  <r>
    <x v="3"/>
    <s v="ALLAUDDIN ISMAIL SHAIKH"/>
    <s v="JB-10061"/>
    <x v="0"/>
    <s v="08/11/2022"/>
    <m/>
    <s v="Existing"/>
    <s v="Reliance Industries Ltd"/>
    <s v="Executive"/>
    <s v="suresh kumar"/>
    <n v="31928"/>
    <n v="31928"/>
    <n v="0"/>
    <s v="21st to 20th"/>
    <s v="5 day"/>
    <n v="1"/>
    <n v="22"/>
    <n v="0"/>
    <n v="0"/>
    <m/>
    <m/>
    <s v="CGST/SGST"/>
    <m/>
  </r>
  <r>
    <x v="3"/>
    <s v="DEEPA SHOBHNATH TRIPATHI"/>
    <s v="JB-10062"/>
    <x v="0"/>
    <s v="28/11/2022"/>
    <m/>
    <s v="Existing"/>
    <s v="Reliance Industries Ltd"/>
    <s v="Executive"/>
    <s v="Manesh Deshmukh"/>
    <n v="37450"/>
    <n v="37450"/>
    <n v="0"/>
    <s v="21st to 20th"/>
    <s v="5 day"/>
    <n v="1"/>
    <n v="22"/>
    <n v="0"/>
    <n v="0"/>
    <m/>
    <m/>
    <s v="CGST/SGST"/>
    <m/>
  </r>
  <r>
    <x v="3"/>
    <s v="SUMIT PRABHAKAR DETHE"/>
    <s v="JB-10068"/>
    <x v="0"/>
    <s v="20/02/2023"/>
    <m/>
    <s v="Existing"/>
    <s v="Reliance Industries Ltd"/>
    <s v="Executive"/>
    <s v="Navin Sherman"/>
    <n v="26441"/>
    <n v="26441"/>
    <n v="0"/>
    <s v="21st to 20th"/>
    <s v="5 day"/>
    <n v="1"/>
    <n v="22"/>
    <n v="0"/>
    <n v="0"/>
    <m/>
    <m/>
    <s v="CGST/SGST"/>
    <m/>
  </r>
  <r>
    <x v="3"/>
    <s v="MEGHA VILAS GUND"/>
    <s v="JB-10083"/>
    <x v="0"/>
    <s v="28/08/2023"/>
    <m/>
    <s v="Existing"/>
    <s v="Reliance Industries Ltd"/>
    <s v="Executive"/>
    <s v="Bhumika Baua"/>
    <n v="35498"/>
    <n v="35498"/>
    <n v="0"/>
    <s v="21st to 20th"/>
    <s v="5 day"/>
    <n v="1"/>
    <n v="22"/>
    <n v="0"/>
    <n v="0"/>
    <m/>
    <m/>
    <s v="CGST/SGST"/>
    <m/>
  </r>
  <r>
    <x v="3"/>
    <s v="MAMATA RAGHUNATH NEWALKAR"/>
    <s v="JB-10090"/>
    <x v="0"/>
    <s v="01/11/2023"/>
    <m/>
    <s v="Existing"/>
    <s v="Reliance Industries Ltd"/>
    <s v="Executive"/>
    <s v="Pavan Kabra"/>
    <n v="26888"/>
    <n v="26888"/>
    <n v="0"/>
    <s v="21st to 20th"/>
    <s v="5 day"/>
    <n v="1"/>
    <n v="22"/>
    <n v="0"/>
    <n v="0"/>
    <m/>
    <m/>
    <s v="CGST/SGST"/>
    <m/>
  </r>
  <r>
    <x v="3"/>
    <s v="AKANKSHA ANANT RANE"/>
    <s v="JB-10101"/>
    <x v="0"/>
    <s v="08/02/2024"/>
    <m/>
    <s v="Existing"/>
    <s v="Reliance Industries Ltd"/>
    <s v="Executive"/>
    <s v="Prasanna"/>
    <n v="30038"/>
    <n v="30038"/>
    <n v="0"/>
    <s v="21st to 20th"/>
    <s v="5 day"/>
    <n v="1"/>
    <n v="22"/>
    <n v="0"/>
    <n v="0"/>
    <m/>
    <m/>
    <s v="CGST/SGST"/>
    <m/>
  </r>
  <r>
    <x v="3"/>
    <s v="PRATHAMESH ARUN PATIL"/>
    <s v="JB-10106"/>
    <x v="0"/>
    <s v="19/02/2024"/>
    <m/>
    <s v="Existing"/>
    <s v="Reliance Industries Ltd"/>
    <s v="Executive"/>
    <s v="Sudip Majumder"/>
    <n v="31298"/>
    <n v="31298"/>
    <n v="0"/>
    <s v="21st to 20th"/>
    <s v="5 day"/>
    <n v="1"/>
    <n v="22"/>
    <n v="0"/>
    <n v="0"/>
    <m/>
    <m/>
    <s v="CGST/SGST"/>
    <m/>
  </r>
  <r>
    <x v="3"/>
    <s v="RAHUL SOPAN MAHTRE"/>
    <s v="JB-10110"/>
    <x v="0"/>
    <s v="05/03/2024"/>
    <m/>
    <s v="Existing"/>
    <s v="Reliance Industries Ltd"/>
    <s v="Executive"/>
    <s v="Amisha Shah"/>
    <n v="32099"/>
    <n v="32099"/>
    <n v="0"/>
    <s v="21st to 20th"/>
    <s v="5 day"/>
    <n v="1"/>
    <n v="22"/>
    <n v="0"/>
    <n v="0"/>
    <m/>
    <m/>
    <s v="CGST/SGST"/>
    <m/>
  </r>
  <r>
    <x v="3"/>
    <s v="SACHIN MAHADEV ALHAT"/>
    <s v="JB-10125"/>
    <x v="0"/>
    <s v="02/05/2024"/>
    <m/>
    <s v="Existing"/>
    <s v="Reliance Industries Ltd"/>
    <s v="Executive"/>
    <s v="Jayanth Poojari"/>
    <n v="30570"/>
    <n v="30570"/>
    <n v="0"/>
    <s v="21st to 20th"/>
    <s v="5 day"/>
    <n v="1"/>
    <n v="22"/>
    <n v="0"/>
    <n v="0"/>
    <m/>
    <m/>
    <s v="CGST/SGST"/>
    <m/>
  </r>
  <r>
    <x v="3"/>
    <s v="Meghana Balakrishnan Nair"/>
    <s v="JB-10134"/>
    <x v="0"/>
    <s v="10/12/2025"/>
    <m/>
    <s v="Existing"/>
    <s v="Reliance Industries Ltd"/>
    <s v="Executive"/>
    <s v="Deepak Goyal/Sachin Mutha"/>
    <n v="57700"/>
    <n v="57700"/>
    <n v="0"/>
    <s v="21st to 20th"/>
    <s v="5 day"/>
    <n v="1"/>
    <n v="22"/>
    <n v="0"/>
    <n v="0"/>
    <m/>
    <m/>
    <s v="CGST/SGST"/>
    <m/>
  </r>
  <r>
    <x v="3"/>
    <s v="SUJAL SANTOSH ZAGADE"/>
    <s v="JB-10146"/>
    <x v="0"/>
    <s v="01/10/2024"/>
    <m/>
    <s v="Existing"/>
    <s v="Reliance Industries Ltd"/>
    <s v="Executive"/>
    <s v="Anil Agarwal"/>
    <n v="28800"/>
    <n v="28800"/>
    <n v="0"/>
    <s v="21st to 20th"/>
    <s v="5 day"/>
    <n v="1"/>
    <n v="22"/>
    <n v="0"/>
    <n v="0"/>
    <m/>
    <m/>
    <s v="CGST/SGST"/>
    <m/>
  </r>
  <r>
    <x v="3"/>
    <s v="SONAL KONDIRAM PARTE"/>
    <s v="JB-10147"/>
    <x v="0"/>
    <s v="21/10/2024"/>
    <m/>
    <s v="Existing"/>
    <s v="Reliance Industries Ltd"/>
    <s v="Executive"/>
    <s v="Anish Thomas"/>
    <n v="28608"/>
    <n v="28608"/>
    <n v="0"/>
    <s v="21st to 20th"/>
    <s v="5 day"/>
    <n v="1"/>
    <n v="22"/>
    <n v="0"/>
    <n v="0"/>
    <m/>
    <m/>
    <s v="CGST/SGST"/>
    <m/>
  </r>
  <r>
    <x v="3"/>
    <s v="ANKITA ANANT RANE"/>
    <s v="JB-10148"/>
    <x v="0"/>
    <s v="04/11/2024"/>
    <m/>
    <s v="Existing"/>
    <s v="Reliance Industries Ltd"/>
    <s v="Executive"/>
    <s v="Anant Waje"/>
    <n v="29522"/>
    <n v="29522"/>
    <n v="0"/>
    <s v="21st to 20th"/>
    <s v="5 day"/>
    <n v="1"/>
    <n v="22"/>
    <n v="0"/>
    <n v="0"/>
    <m/>
    <m/>
    <s v="CGST/SGST"/>
    <m/>
  </r>
  <r>
    <x v="3"/>
    <s v="SIMRAN MINDA"/>
    <s v="JB-10153"/>
    <x v="0"/>
    <s v="30/11/2024"/>
    <m/>
    <s v="Existing"/>
    <s v="Reliance Industries Ltd"/>
    <s v="Executive"/>
    <s v="Abhishek Jain"/>
    <n v="28800"/>
    <n v="28800"/>
    <n v="0"/>
    <s v="21st to 20th"/>
    <s v="5 day"/>
    <n v="1"/>
    <n v="22"/>
    <n v="0"/>
    <n v="0"/>
    <m/>
    <m/>
    <s v="CGST/SGST"/>
    <m/>
  </r>
  <r>
    <x v="3"/>
    <s v="Suraj Anant Kadam"/>
    <s v="JB-10173"/>
    <x v="0"/>
    <s v="24/02/2025"/>
    <m/>
    <s v="Existing"/>
    <s v="Reliance Industries Ltd"/>
    <s v="Executive"/>
    <s v="Mrinal Vat"/>
    <n v="35800"/>
    <n v="35800"/>
    <n v="0"/>
    <s v="21st to 20th"/>
    <s v="5 day"/>
    <n v="1"/>
    <n v="22"/>
    <n v="0"/>
    <n v="0"/>
    <m/>
    <m/>
    <s v="CGST/SGST"/>
    <m/>
  </r>
  <r>
    <x v="3"/>
    <s v="SONU RATILAL LAKHARA"/>
    <s v="JB-10181"/>
    <x v="0"/>
    <s v="21/04/2025"/>
    <m/>
    <s v="Existing"/>
    <s v="Reliance Industries Ltd"/>
    <s v="Executive"/>
    <s v="R. K.Khandelwal"/>
    <n v="83334"/>
    <n v="83334"/>
    <n v="0"/>
    <s v="21st to 20th"/>
    <s v="5 day"/>
    <n v="1"/>
    <n v="22"/>
    <n v="0"/>
    <n v="0"/>
    <m/>
    <m/>
    <s v="CGST/SGST"/>
    <m/>
  </r>
  <r>
    <x v="3"/>
    <s v="VIHAR CHANDUBHAI PADSHALA"/>
    <s v="JB-10189"/>
    <x v="0"/>
    <s v="28/07/2025"/>
    <m/>
    <s v="Existing"/>
    <s v="Reliance Industries Ltd"/>
    <s v="Executive"/>
    <s v="Manmit Verma"/>
    <n v="137500"/>
    <n v="137500"/>
    <n v="0"/>
    <s v="21st to 20th"/>
    <s v="5 day"/>
    <n v="1"/>
    <n v="22"/>
    <n v="0"/>
    <n v="0"/>
    <m/>
    <m/>
    <s v="CGST/SGST"/>
    <m/>
  </r>
  <r>
    <x v="3"/>
    <s v="POOJA SHIVKUMAR SHARMA"/>
    <s v="JB-10196"/>
    <x v="0"/>
    <d v="2025-06-23T00:00:00"/>
    <m/>
    <s v="Existing"/>
    <s v="Reliance Industries Ltd"/>
    <s v="Executive"/>
    <s v="Rajesh Shah"/>
    <n v="33800"/>
    <n v="33800"/>
    <n v="0"/>
    <s v="21st to 20th"/>
    <s v="5 day"/>
    <n v="1"/>
    <n v="22"/>
    <n v="0"/>
    <n v="0"/>
    <m/>
    <m/>
    <s v="CGST/SGST"/>
    <m/>
  </r>
  <r>
    <x v="3"/>
    <s v="CHINMAYA KIRAN BANSOLE"/>
    <s v="JB-10200"/>
    <x v="0"/>
    <d v="2026-01-21T00:00:00"/>
    <m/>
    <s v="New Joiner"/>
    <s v="Reliance Industries Ltd"/>
    <s v="Manager"/>
    <s v="Sachin Mutha/ Manmit Verma"/>
    <n v="55000"/>
    <n v="55000"/>
    <n v="0"/>
    <s v="21st to 20th"/>
    <s v="5 day"/>
    <n v="1"/>
    <n v="22"/>
    <n v="0"/>
    <n v="0"/>
    <m/>
    <m/>
    <s v="CGST/SGST"/>
    <s v="New Joiner"/>
  </r>
  <r>
    <x v="3"/>
    <s v="SHARIF ABDUL REHMAN"/>
    <s v="JB-10201"/>
    <x v="0"/>
    <s v="03/07/2025"/>
    <m/>
    <s v="Existing"/>
    <s v="Reliance Industries Ltd"/>
    <s v="Executive"/>
    <s v="Sachin Motha"/>
    <n v="137520"/>
    <n v="137520"/>
    <n v="0"/>
    <s v="21st to 20th"/>
    <s v="5 day"/>
    <n v="1"/>
    <n v="22"/>
    <n v="0"/>
    <n v="0"/>
    <m/>
    <m/>
    <s v="CGST/SGST"/>
    <m/>
  </r>
  <r>
    <x v="3"/>
    <s v="ADARSH CHANDRASHEKHAR NAIR"/>
    <s v="JB-10202"/>
    <x v="0"/>
    <s v="03/07/2025"/>
    <m/>
    <s v="Existing"/>
    <s v="Reliance Industries Ltd"/>
    <s v="Executive"/>
    <s v="Vikash Agarwal"/>
    <n v="28800"/>
    <n v="28800"/>
    <n v="0"/>
    <s v="21st to 20th"/>
    <s v="5 day"/>
    <n v="1"/>
    <n v="22"/>
    <n v="0"/>
    <n v="0"/>
    <m/>
    <m/>
    <s v="CGST/SGST"/>
    <m/>
  </r>
  <r>
    <x v="3"/>
    <s v="DIXITA ANIKET PATIL"/>
    <s v="JB-10203"/>
    <x v="0"/>
    <s v="15/07/2025"/>
    <m/>
    <s v="Existing"/>
    <s v="Reliance Industries Ltd"/>
    <s v="Executive"/>
    <s v="Heer Fulwani"/>
    <n v="54570"/>
    <n v="54570"/>
    <n v="0"/>
    <s v="21st to 20th"/>
    <s v="5 day"/>
    <n v="1"/>
    <n v="22"/>
    <n v="0"/>
    <n v="0"/>
    <m/>
    <m/>
    <s v="CGST/SGST"/>
    <m/>
  </r>
  <r>
    <x v="3"/>
    <s v="KUNDAN MUNNA PANDIT"/>
    <s v="JB-10204"/>
    <x v="0"/>
    <s v="05/08/2025"/>
    <m/>
    <s v="Existing"/>
    <s v="Reliance Industries Ltd"/>
    <s v="Executive"/>
    <s v="Dinesh Jadhav"/>
    <n v="54570"/>
    <n v="54570"/>
    <n v="0"/>
    <s v="21st to 20th"/>
    <s v="5 day"/>
    <n v="1"/>
    <n v="22"/>
    <n v="0"/>
    <n v="0"/>
    <m/>
    <m/>
    <s v="CGST/SGST"/>
    <m/>
  </r>
  <r>
    <x v="3"/>
    <s v="PRAJJWAL PRAKASH PEDNEKAR"/>
    <s v="JB-10205"/>
    <x v="0"/>
    <s v="04/08/2025"/>
    <m/>
    <s v="Existing"/>
    <s v="Reliance Industries Ltd"/>
    <s v="Executive"/>
    <s v="Heer Fulwani"/>
    <n v="45570"/>
    <n v="45570"/>
    <n v="0"/>
    <s v="21st to 20th"/>
    <s v="5 day"/>
    <n v="1"/>
    <n v="22"/>
    <n v="0"/>
    <n v="0"/>
    <m/>
    <m/>
    <s v="CGST/SGST"/>
    <m/>
  </r>
  <r>
    <x v="3"/>
    <s v="PRATHAMESH AVINASH DESHMUKH"/>
    <s v="JB-10206"/>
    <x v="0"/>
    <s v="05/08/2025"/>
    <m/>
    <s v="Existing"/>
    <s v="Reliance Industries Ltd"/>
    <s v="Executive"/>
    <s v="Dinesh Jadhav"/>
    <n v="46570"/>
    <n v="46570"/>
    <n v="0"/>
    <s v="21st to 20th"/>
    <s v="5 day"/>
    <n v="1"/>
    <n v="22"/>
    <n v="0"/>
    <n v="0"/>
    <m/>
    <m/>
    <s v="CGST/SGST"/>
    <m/>
  </r>
  <r>
    <x v="3"/>
    <s v="CHANDRASHEKHAR KASHINATH PARADKAR"/>
    <s v="JB-10207"/>
    <x v="0"/>
    <s v="11/07/2025"/>
    <m/>
    <s v="Existing"/>
    <s v="Reliance Industries Ltd"/>
    <s v="Executive"/>
    <s v="R. K. Khandelwal"/>
    <n v="112501"/>
    <n v="112501"/>
    <n v="0"/>
    <s v="21st to 20th"/>
    <s v="5 day"/>
    <n v="1"/>
    <n v="22"/>
    <n v="0"/>
    <n v="0"/>
    <m/>
    <m/>
    <s v="CGST/SGST"/>
    <m/>
  </r>
  <r>
    <x v="3"/>
    <s v="ANKITA GOSWAMI"/>
    <s v="JB-10216"/>
    <x v="0"/>
    <s v="01/09/2025"/>
    <m/>
    <s v="Existing"/>
    <s v="Reliance Industries Ltd"/>
    <s v="Executive"/>
    <s v="Ajith Rath"/>
    <n v="34570"/>
    <n v="34570"/>
    <n v="0"/>
    <s v="21st to 20th"/>
    <s v="5 day"/>
    <n v="1"/>
    <n v="22"/>
    <n v="0"/>
    <n v="0"/>
    <m/>
    <m/>
    <s v="CGST/SGST"/>
    <m/>
  </r>
  <r>
    <x v="3"/>
    <s v="LILADHAR KUMAR JHA"/>
    <s v="JB-10218"/>
    <x v="0"/>
    <s v="01/09/2025"/>
    <m/>
    <s v="Existing"/>
    <s v="Reliance Industries Ltd"/>
    <s v="Executive"/>
    <s v="Manish Bhutoria"/>
    <n v="71668"/>
    <n v="71668"/>
    <n v="0"/>
    <s v="21st to 20th"/>
    <s v="5 day"/>
    <n v="1"/>
    <n v="22"/>
    <n v="0"/>
    <n v="0"/>
    <m/>
    <m/>
    <s v="CGST/SGST"/>
    <m/>
  </r>
  <r>
    <x v="3"/>
    <s v="PRANAY PRABHAKAR CHAVAN"/>
    <s v="JB-10220"/>
    <x v="0"/>
    <s v="23/09/2025"/>
    <m/>
    <s v="Existing"/>
    <s v="Reliance Industries Ltd"/>
    <s v="Executive"/>
    <s v="Ajith Rath"/>
    <n v="31570"/>
    <n v="31570"/>
    <n v="0"/>
    <s v="21st to 20th"/>
    <s v="5 day"/>
    <n v="1"/>
    <n v="22"/>
    <n v="0"/>
    <n v="0"/>
    <m/>
    <m/>
    <s v="CGST/SGST"/>
    <m/>
  </r>
  <r>
    <x v="3"/>
    <s v="PRIYANKA ANKUSH BHOSALE"/>
    <s v="JB-10223"/>
    <x v="0"/>
    <s v="08/09/2025"/>
    <m/>
    <s v="Existing"/>
    <s v="Reliance Industries Ltd"/>
    <s v="Executive"/>
    <s v="Sachin Verma"/>
    <n v="28600"/>
    <n v="28600"/>
    <n v="0"/>
    <s v="21st to 20th"/>
    <s v="5 day"/>
    <n v="1"/>
    <n v="22"/>
    <n v="0"/>
    <n v="0"/>
    <m/>
    <m/>
    <s v="CGST/SGST"/>
    <m/>
  </r>
  <r>
    <x v="3"/>
    <s v="HARSHADA SANDEEP GADAVE"/>
    <s v="JB-10227"/>
    <x v="0"/>
    <s v="15/09/2025"/>
    <m/>
    <s v="Existing"/>
    <s v="Reliance Industries Ltd"/>
    <s v="Executive"/>
    <s v="Abhishek Jain"/>
    <n v="31570"/>
    <n v="31570"/>
    <n v="0"/>
    <s v="21st to 20th"/>
    <s v="5 day"/>
    <n v="1"/>
    <n v="22"/>
    <n v="0"/>
    <n v="0"/>
    <m/>
    <m/>
    <s v="CGST/SGST"/>
    <m/>
  </r>
  <r>
    <x v="3"/>
    <s v="AKSHATA DHIRAJ SURVE"/>
    <s v="JB-10232"/>
    <x v="0"/>
    <s v="13/10/2025"/>
    <d v="2026-01-31T00:00:00"/>
    <s v="Leaving"/>
    <s v="Reliance Industries Ltd"/>
    <s v="Executive"/>
    <s v="Prakash Hale"/>
    <n v="36570"/>
    <n v="36570"/>
    <n v="0"/>
    <s v="21st to 20th"/>
    <s v="5 day"/>
    <n v="1"/>
    <n v="8"/>
    <n v="0"/>
    <n v="0"/>
    <m/>
    <m/>
    <s v="CGST/SGST"/>
    <s v="LDW 31-01-26"/>
  </r>
  <r>
    <x v="3"/>
    <s v="GIRISH VALECHA"/>
    <s v="JB-10233"/>
    <x v="0"/>
    <s v="13/10/2025"/>
    <m/>
    <s v="Existing"/>
    <s v="Reliance Industries Ltd"/>
    <s v="Executive"/>
    <s v="Abhishek Jain"/>
    <n v="33870"/>
    <n v="33870"/>
    <n v="0"/>
    <s v="21st to 20th"/>
    <s v="5 day"/>
    <n v="1"/>
    <n v="22"/>
    <n v="0"/>
    <n v="0"/>
    <m/>
    <m/>
    <s v="CGST/SGST"/>
    <m/>
  </r>
  <r>
    <x v="3"/>
    <s v="RUPESH SURESH YADAV"/>
    <s v="JB-10236"/>
    <x v="0"/>
    <s v="03/11/2025"/>
    <m/>
    <s v="Existing"/>
    <s v="Reliance Industries Ltd"/>
    <s v="Executive"/>
    <s v="Benny Kangirath"/>
    <n v="39100"/>
    <n v="39100"/>
    <n v="0"/>
    <s v="21st to 20th"/>
    <s v="5 day"/>
    <n v="1"/>
    <n v="22"/>
    <n v="0"/>
    <n v="0"/>
    <m/>
    <m/>
    <s v="CGST/SGST"/>
    <m/>
  </r>
  <r>
    <x v="3"/>
    <s v="KEVIN MARU"/>
    <s v="JB-10237"/>
    <x v="0"/>
    <s v="10/11/2025"/>
    <m/>
    <s v="Existing"/>
    <s v="Reliance Industries Ltd"/>
    <s v="Executive"/>
    <s v="Sunil Ramchandani"/>
    <n v="70833"/>
    <n v="70833"/>
    <n v="0"/>
    <s v="21st to 20th"/>
    <s v="5 day"/>
    <n v="1"/>
    <n v="22"/>
    <n v="0"/>
    <n v="0"/>
    <m/>
    <m/>
    <s v="CGST/SGST"/>
    <m/>
  </r>
  <r>
    <x v="3"/>
    <s v="VIBHAVARI MAHESH JAMDAR"/>
    <s v="JB-10238"/>
    <x v="0"/>
    <s v="17/11/2025"/>
    <m/>
    <s v="Existing"/>
    <s v="Reliance Industries Ltd"/>
    <s v="Executive"/>
    <s v="Atul Jain"/>
    <n v="112500"/>
    <n v="112500"/>
    <n v="0"/>
    <s v="21st to 20th"/>
    <s v="5 day"/>
    <n v="1"/>
    <n v="22"/>
    <n v="0"/>
    <n v="0"/>
    <m/>
    <m/>
    <s v="CGST/SGST"/>
    <m/>
  </r>
  <r>
    <x v="3"/>
    <s v="GITANJALI ANANT JADHAV"/>
    <s v="JB-10239"/>
    <x v="0"/>
    <s v="01/12/2025"/>
    <d v="2026-01-30T00:00:00"/>
    <s v="Leaving"/>
    <s v="Reliance Industries Ltd"/>
    <s v="Executive"/>
    <s v="ATUL JAIN"/>
    <n v="58334"/>
    <n v="58334"/>
    <n v="0"/>
    <s v="21st to 20th"/>
    <s v="5 day"/>
    <n v="1"/>
    <n v="7"/>
    <n v="0"/>
    <n v="0"/>
    <m/>
    <m/>
    <s v="CGST/SGST"/>
    <s v="LDW 30-01-26"/>
  </r>
  <r>
    <x v="3"/>
    <s v="ABHISHEK DATTATRAY MAHAJAN"/>
    <s v="JB-10240"/>
    <x v="0"/>
    <s v="10/11/2025"/>
    <m/>
    <s v="Existing"/>
    <s v="Reliance Industries Ltd"/>
    <s v="Executive"/>
    <s v="Amisha Shah"/>
    <n v="70833"/>
    <n v="70833"/>
    <n v="0"/>
    <s v="21st to 20th"/>
    <s v="5 day"/>
    <n v="1"/>
    <n v="22"/>
    <n v="0"/>
    <n v="0"/>
    <m/>
    <m/>
    <s v="CGST/SGST"/>
    <m/>
  </r>
  <r>
    <x v="3"/>
    <s v="SNEHAL ZOPE"/>
    <s v="JB-10249"/>
    <x v="0"/>
    <s v="15/12/2025"/>
    <m/>
    <s v="Existing"/>
    <s v="Reliance Industries Ltd"/>
    <s v="Executive"/>
    <s v="Swaminathan Iyer/Vivek Gupta"/>
    <n v="75000"/>
    <n v="75000"/>
    <n v="0"/>
    <s v="21st to 20th"/>
    <s v="5 day"/>
    <n v="1"/>
    <n v="22"/>
    <n v="0"/>
    <n v="0"/>
    <m/>
    <m/>
    <s v="CGST/SGST"/>
    <m/>
  </r>
  <r>
    <x v="3"/>
    <s v="AKANSHA SANTOSH SHIVALKAR"/>
    <s v="JB-10250"/>
    <x v="0"/>
    <s v="22/12/2025"/>
    <m/>
    <s v="Existing"/>
    <s v="Reliance Industries Ltd"/>
    <s v="Executive"/>
    <s v="Priyanka Modi/R K Khandewal"/>
    <n v="83333"/>
    <n v="83333"/>
    <n v="0"/>
    <s v="21st to 20th"/>
    <s v="5 day"/>
    <n v="1"/>
    <n v="22"/>
    <n v="0"/>
    <n v="0"/>
    <m/>
    <m/>
    <s v="CGST/SGST"/>
    <m/>
  </r>
  <r>
    <x v="3"/>
    <s v="MOUBANI PRAKASH LALWANI"/>
    <s v="JB-10258"/>
    <x v="0"/>
    <s v="25/12/2025"/>
    <m/>
    <s v="Existing"/>
    <s v="Reliance Industries Ltd"/>
    <s v="Executive"/>
    <s v="Amisha Shah"/>
    <n v="45767"/>
    <n v="45767"/>
    <n v="0"/>
    <s v="21st to 20th"/>
    <s v="5 day"/>
    <n v="1"/>
    <n v="22"/>
    <n v="0"/>
    <n v="0"/>
    <m/>
    <m/>
    <s v="CGST/SGST"/>
    <m/>
  </r>
  <r>
    <x v="3"/>
    <s v="POOJA AJAY CHAURASIA"/>
    <s v="JB-10264"/>
    <x v="0"/>
    <s v="06/01/2026"/>
    <m/>
    <s v="Existing"/>
    <s v="Reliance Industries Ltd"/>
    <s v="Executive"/>
    <s v="PRASANNA"/>
    <n v="29100"/>
    <n v="29100"/>
    <n v="0"/>
    <s v="21st to 20th"/>
    <s v="5 day"/>
    <n v="1"/>
    <n v="22"/>
    <n v="0"/>
    <n v="0"/>
    <m/>
    <m/>
    <s v="CGST/SGST"/>
    <m/>
  </r>
  <r>
    <x v="3"/>
    <s v="VIKRAM LAXMAN PARTE"/>
    <s v="JB-10265"/>
    <x v="0"/>
    <d v="2026-01-08T00:00:00"/>
    <m/>
    <s v="Existing"/>
    <s v="Reliance Industries Ltd"/>
    <s v="Executive"/>
    <s v="Julie Mishra"/>
    <n v="54763"/>
    <n v="54763"/>
    <n v="0"/>
    <s v="21st to 20th"/>
    <s v="5 day"/>
    <n v="1"/>
    <n v="22"/>
    <n v="0"/>
    <n v="0"/>
    <m/>
    <m/>
    <s v="CGST/SGST"/>
    <m/>
  </r>
  <r>
    <x v="3"/>
    <s v="SANIKA SANJAY DIVEKAR"/>
    <s v="JB-10266"/>
    <x v="0"/>
    <s v="01/01/2026"/>
    <m/>
    <s v="Existing"/>
    <s v="Reliance Industries Ltd"/>
    <s v="Executive"/>
    <s v="PRASANNA"/>
    <n v="25100"/>
    <n v="25100"/>
    <n v="0"/>
    <s v="21st to 20th"/>
    <s v="5 day"/>
    <n v="1"/>
    <n v="22"/>
    <n v="0"/>
    <n v="0"/>
    <m/>
    <m/>
    <s v="CGST/SGST"/>
    <m/>
  </r>
  <r>
    <x v="3"/>
    <s v="MIHIR DILIP SHAH"/>
    <s v="JB-10268"/>
    <x v="0"/>
    <d v="2026-01-22T00:00:00"/>
    <m/>
    <s v="New Joiner"/>
    <s v="Reliance Industries Ltd"/>
    <s v="Manager"/>
    <s v="Karishma Modi"/>
    <n v="75000"/>
    <n v="75000"/>
    <n v="0"/>
    <s v="21st to 20th"/>
    <s v="5 day"/>
    <n v="1"/>
    <n v="21"/>
    <n v="0"/>
    <n v="0"/>
    <m/>
    <m/>
    <s v="CGST/SGST"/>
    <s v="New Joiner"/>
  </r>
  <r>
    <x v="3"/>
    <s v="ADITYA VIJAY GURAV"/>
    <s v="JB-10271"/>
    <x v="0"/>
    <d v="2026-02-02T00:00:00"/>
    <m/>
    <s v="New Joiner"/>
    <s v="Reliance Industries Ltd"/>
    <s v="Manager"/>
    <s v="Jaykumar Golini"/>
    <n v="69300"/>
    <n v="69300"/>
    <n v="0"/>
    <s v="21st to 20th"/>
    <s v="5 day"/>
    <n v="0"/>
    <n v="15"/>
    <n v="0"/>
    <n v="0"/>
    <m/>
    <m/>
    <s v="CGST/SGST"/>
    <s v="New Joiner"/>
  </r>
  <r>
    <x v="3"/>
    <s v="PRADNYA SANTOSH PHALKE"/>
    <s v="JB-10272"/>
    <x v="0"/>
    <d v="2026-01-29T00:00:00"/>
    <m/>
    <s v="New Joiner"/>
    <s v="Reliance Industries Ltd"/>
    <s v="Executive"/>
    <s v="R K khandewal"/>
    <n v="34500"/>
    <n v="34500"/>
    <n v="0"/>
    <s v="21st to 20th"/>
    <s v="5 day"/>
    <n v="0"/>
    <n v="17"/>
    <n v="0"/>
    <n v="0"/>
    <m/>
    <m/>
    <s v="CGST/SGST"/>
    <s v="New Joiner"/>
  </r>
  <r>
    <x v="3"/>
    <s v="KRUTIKA PRADEEP PATIL"/>
    <s v="JB-10273"/>
    <x v="0"/>
    <d v="2026-02-02T00:00:00"/>
    <m/>
    <s v="New Joiner"/>
    <s v="Reliance Industries Ltd"/>
    <s v="Executive"/>
    <s v="Pavan Kabra"/>
    <n v="20087"/>
    <n v="20087"/>
    <n v="0"/>
    <s v="21st to 20th"/>
    <s v="5 day"/>
    <n v="0"/>
    <n v="15"/>
    <n v="0"/>
    <n v="0"/>
    <m/>
    <m/>
    <s v="CGST/SGST"/>
    <s v="New Joiner"/>
  </r>
  <r>
    <x v="3"/>
    <s v="PRIYANKA YEDURKAR"/>
    <s v="JB-10276"/>
    <x v="0"/>
    <d v="2026-02-16T00:00:00"/>
    <m/>
    <s v="New Joiner"/>
    <s v="Reliance Industries Ltd"/>
    <s v="Manager"/>
    <s v="Vikas Agarwal"/>
    <n v="108333"/>
    <n v="108333"/>
    <n v="0"/>
    <s v="21st to 20th"/>
    <s v="5 day"/>
    <n v="0"/>
    <n v="5"/>
    <n v="0"/>
    <n v="0"/>
    <m/>
    <m/>
    <s v="CGST/SGST"/>
    <s v="New Joiner"/>
  </r>
  <r>
    <x v="3"/>
    <s v="VARAD VILAS PRABHUDESAI"/>
    <s v="JB-10279"/>
    <x v="0"/>
    <d v="2026-01-23T00:00:00"/>
    <m/>
    <s v="New Joiner"/>
    <s v="Reliance Industries Ltd"/>
    <s v="Manager"/>
    <s v="Manish Bhutoria"/>
    <n v="87500"/>
    <n v="87500"/>
    <n v="0"/>
    <s v="21st to 20th"/>
    <s v="5 day"/>
    <n v="1"/>
    <n v="20"/>
    <n v="0"/>
    <n v="0"/>
    <m/>
    <m/>
    <s v="CGST/SGST"/>
    <s v="New Joiner"/>
  </r>
  <r>
    <x v="3"/>
    <s v="NIKITA LILADHAR BHAVSAR"/>
    <s v="JB-10280"/>
    <x v="0"/>
    <d v="2026-02-10T00:00:00"/>
    <m/>
    <s v="New Joiner"/>
    <s v="Reliance Industries Ltd"/>
    <s v="Executive"/>
    <s v="Pavan Kabra"/>
    <n v="35292"/>
    <n v="35292"/>
    <n v="0"/>
    <s v="21st to 20th"/>
    <s v="5 day"/>
    <n v="0"/>
    <n v="9"/>
    <n v="0"/>
    <n v="0"/>
    <m/>
    <m/>
    <s v="CGST/SGST"/>
    <s v="New Joiner"/>
  </r>
  <r>
    <x v="3"/>
    <s v="SHRADDHA RAJARAM CHAVAN"/>
    <s v="JB-10282"/>
    <x v="0"/>
    <d v="2026-02-02T00:00:00"/>
    <m/>
    <s v="New Joiner"/>
    <s v="Reliance Industries Ltd"/>
    <s v="Executive"/>
    <s v="Prakash Hale"/>
    <n v="44117"/>
    <n v="44117"/>
    <n v="0"/>
    <s v="21st to 20th"/>
    <s v="5 day"/>
    <n v="0"/>
    <n v="15"/>
    <n v="0"/>
    <n v="0"/>
    <m/>
    <m/>
    <s v="CGST/SGST"/>
    <s v="New Joiner"/>
  </r>
  <r>
    <x v="4"/>
    <s v="DEEPAK KUMAR MANDAL"/>
    <s v="JB-10257"/>
    <x v="0"/>
    <s v="20/12/2025"/>
    <m/>
    <s v="Existing"/>
    <s v="Reliance Industries Ltd"/>
    <m/>
    <m/>
    <n v="25100"/>
    <n v="25025"/>
    <n v="75"/>
    <s v="1st to 31st"/>
    <s v="6 day"/>
    <n v="2"/>
    <n v="25"/>
    <s v="-"/>
    <s v="-"/>
    <n v="349"/>
    <m/>
    <s v="CGST/SGST"/>
    <m/>
  </r>
  <r>
    <x v="4"/>
    <s v="PRITI MISHRA"/>
    <s v="JB-10256"/>
    <x v="0"/>
    <s v="20/12/2025"/>
    <m/>
    <s v="Existing"/>
    <s v="Reliance Industries Ltd"/>
    <m/>
    <m/>
    <n v="22599"/>
    <n v="22531"/>
    <n v="68"/>
    <s v="1st to 31st"/>
    <s v="6 day"/>
    <n v="2"/>
    <n v="25"/>
    <s v="-"/>
    <s v="-"/>
    <m/>
    <m/>
    <s v="CGST/SGST"/>
    <m/>
  </r>
  <r>
    <x v="4"/>
    <s v="SUPRIYA DADU SHINDE"/>
    <s v="JB-10251"/>
    <x v="0"/>
    <s v="20/12/2025"/>
    <m/>
    <s v="Existing"/>
    <s v="Reliance Industries Ltd"/>
    <m/>
    <m/>
    <n v="20432"/>
    <n v="20363"/>
    <n v="69"/>
    <s v="1st to 31st"/>
    <s v="6 day"/>
    <n v="2"/>
    <n v="25"/>
    <s v="-"/>
    <s v="-"/>
    <m/>
    <m/>
    <s v="CGST/SGST"/>
    <m/>
  </r>
  <r>
    <x v="4"/>
    <s v="DIVYA SAHEBRAO SALVE"/>
    <s v="JB-10252"/>
    <x v="0"/>
    <s v="20/12/2025"/>
    <m/>
    <s v="Existing"/>
    <s v="Reliance Industries Ltd"/>
    <m/>
    <m/>
    <n v="20432"/>
    <n v="20363"/>
    <n v="69"/>
    <s v="1st to 31st"/>
    <s v="6 day"/>
    <n v="2"/>
    <n v="25"/>
    <s v="-"/>
    <s v="-"/>
    <s v="-"/>
    <m/>
    <s v="CGST/SGST"/>
    <m/>
  </r>
  <r>
    <x v="4"/>
    <s v="SAGAR SUNIL HINDELEKAR"/>
    <s v="JB-10254"/>
    <x v="0"/>
    <s v="20/12/2025"/>
    <m/>
    <s v="Existing"/>
    <s v="Reliance Industries Ltd"/>
    <m/>
    <m/>
    <n v="22084"/>
    <n v="22015"/>
    <n v="69"/>
    <s v="1st to 31st"/>
    <s v="6 day"/>
    <n v="2"/>
    <n v="25"/>
    <s v="-"/>
    <s v="-"/>
    <n v="860"/>
    <m/>
    <s v="CGST/SGST"/>
    <m/>
  </r>
  <r>
    <x v="4"/>
    <s v="SONI MISHRA"/>
    <s v="JB-10255"/>
    <x v="0"/>
    <s v="20/12/2025"/>
    <m/>
    <s v="Existing"/>
    <s v="Reliance Industries Ltd"/>
    <m/>
    <m/>
    <n v="23117"/>
    <n v="23117"/>
    <n v="0"/>
    <s v="1st to 31st"/>
    <s v="6 day"/>
    <n v="2"/>
    <n v="25"/>
    <s v="-"/>
    <s v="-"/>
    <n v="349"/>
    <m/>
    <s v="CGST/SGST"/>
    <m/>
  </r>
  <r>
    <x v="4"/>
    <s v="NIKISHA NARAYAN BALGUDE"/>
    <s v="JB-10253"/>
    <x v="0"/>
    <s v="20/12/2025"/>
    <m/>
    <s v="Existing"/>
    <s v="Reliance Industries Ltd"/>
    <m/>
    <m/>
    <n v="20432"/>
    <n v="19950"/>
    <n v="482"/>
    <s v="1st to 31st"/>
    <s v="6 day"/>
    <n v="2"/>
    <n v="22"/>
    <n v="3"/>
    <n v="2"/>
    <m/>
    <m/>
    <s v="CGST/SGST"/>
    <m/>
  </r>
  <r>
    <x v="4"/>
    <s v="ADVAIT KEDAR GHANEKAR"/>
    <s v="JB-10277"/>
    <x v="0"/>
    <s v="05/01/2026"/>
    <m/>
    <s v="Existing"/>
    <s v="Reliance Industries Ltd"/>
    <m/>
    <m/>
    <n v="19428"/>
    <n v="19428"/>
    <n v="0"/>
    <s v="1st to 31st"/>
    <s v="6 day"/>
    <n v="1"/>
    <n v="22"/>
    <n v="1"/>
    <n v="1"/>
    <s v="-"/>
    <m/>
    <s v="CGST/SGST"/>
    <m/>
  </r>
  <r>
    <x v="5"/>
    <s v="VIDHYASHREE NARAYANASWAMY"/>
    <s v="JB-10193"/>
    <x v="0"/>
    <s v="17/03/2025"/>
    <m/>
    <s v="Existing"/>
    <s v="OPC Assets Solutions"/>
    <s v="Executive"/>
    <m/>
    <n v="28600"/>
    <n v="28600"/>
    <n v="0"/>
    <s v="1st to 31st"/>
    <s v="5 day"/>
    <n v="3"/>
    <n v="19"/>
    <n v="0"/>
    <n v="0"/>
    <n v="0"/>
    <m/>
    <s v="CGST/SGST"/>
    <m/>
  </r>
  <r>
    <x v="5"/>
    <s v="JAYSHREE SUNIL KASBE"/>
    <s v="JB-10190"/>
    <x v="0"/>
    <s v="30/04/2024"/>
    <m/>
    <s v="Existing"/>
    <s v="OPC Assets Solutions"/>
    <s v="Manager"/>
    <m/>
    <n v="33600"/>
    <n v="33600"/>
    <n v="0"/>
    <s v="1st to 31st"/>
    <s v="5 day"/>
    <n v="3"/>
    <n v="18"/>
    <n v="1"/>
    <n v="1"/>
    <n v="0"/>
    <m/>
    <s v="CGST/SGST"/>
    <m/>
  </r>
  <r>
    <x v="5"/>
    <s v="UPADHYAY SHIVANGI MUKESHKUMAR"/>
    <s v="JB-10191"/>
    <x v="0"/>
    <s v="30/04/2024"/>
    <m/>
    <s v="Existing"/>
    <s v="OPC Assets Solutions"/>
    <s v="Manager"/>
    <m/>
    <n v="33600"/>
    <n v="33600"/>
    <n v="0"/>
    <s v="1st to 31st"/>
    <s v="5 day"/>
    <n v="3"/>
    <n v="19"/>
    <n v="0"/>
    <n v="0"/>
    <n v="0"/>
    <m/>
    <s v="CGST/SGST"/>
    <m/>
  </r>
  <r>
    <x v="5"/>
    <s v="CYRIL ANDREW MASCARENHAS"/>
    <s v="JB-10211"/>
    <x v="0"/>
    <s v="01/09/2025"/>
    <m/>
    <s v="Existing"/>
    <s v="OPC Assets Solutions"/>
    <s v="Executive"/>
    <m/>
    <n v="30000"/>
    <n v="30000"/>
    <n v="0"/>
    <s v="1st to 31st"/>
    <s v="5 day"/>
    <n v="3"/>
    <n v="19"/>
    <n v="0"/>
    <n v="0"/>
    <n v="0"/>
    <m/>
    <s v="CGST/SGST"/>
    <m/>
  </r>
  <r>
    <x v="5"/>
    <s v="SACHIN RAJAN GUPTA"/>
    <s v="JB-10229"/>
    <x v="0"/>
    <s v="22/09/2025"/>
    <m/>
    <s v="Existing"/>
    <s v="OPC Assets Solutions"/>
    <s v="Executive"/>
    <m/>
    <n v="37500"/>
    <n v="37500"/>
    <n v="0"/>
    <s v="1st to 31st"/>
    <s v="5 day"/>
    <n v="3"/>
    <n v="19"/>
    <n v="0"/>
    <n v="0"/>
    <n v="0"/>
    <m/>
    <s v="CGST/SGST"/>
    <m/>
  </r>
  <r>
    <x v="5"/>
    <s v="RUSSEL ROZARIO"/>
    <s v="AB10082"/>
    <x v="0"/>
    <s v="22/09/2025"/>
    <m/>
    <s v="Existing"/>
    <s v="OPC Assets Solutions"/>
    <s v="Executive"/>
    <m/>
    <n v="25000"/>
    <n v="25000"/>
    <n v="0"/>
    <s v="1st to 31st"/>
    <s v="5 day"/>
    <n v="3"/>
    <n v="7.5"/>
    <n v="11.5"/>
    <n v="2"/>
    <n v="0"/>
    <m/>
    <s v="CGST/SGST"/>
    <m/>
  </r>
  <r>
    <x v="5"/>
    <s v="SHRUTI LAXMAN SINGRI"/>
    <s v="AB10092"/>
    <x v="2"/>
    <d v="2025-06-09T00:00:00"/>
    <m/>
    <s v="Existing"/>
    <s v="OPC Assets Solutions"/>
    <m/>
    <m/>
    <n v="28600"/>
    <n v="28600"/>
    <n v="0"/>
    <s v="1st to 31st"/>
    <s v="5 day"/>
    <m/>
    <m/>
    <m/>
    <m/>
    <m/>
    <m/>
    <s v="CGST/SGST"/>
    <m/>
  </r>
  <r>
    <x v="6"/>
    <s v="PRATIK MURARI SUHASARIA"/>
    <s v="JB-10109"/>
    <x v="0"/>
    <s v="28/11/2025"/>
    <m/>
    <s v="Existing"/>
    <s v="Reliance Retail Ltd"/>
    <m/>
    <m/>
    <n v="108333"/>
    <n v="108333"/>
    <n v="0"/>
    <s v="1st to 31st"/>
    <s v="5 day"/>
    <n v="3"/>
    <n v="16"/>
    <n v="3"/>
    <n v="3"/>
    <s v="-"/>
    <m/>
    <s v="CGST/SGST"/>
    <m/>
  </r>
  <r>
    <x v="7"/>
    <s v="MYLAVARAPU SAMEER BHANU PRASAD"/>
    <s v="JB-10221"/>
    <x v="0"/>
    <s v="10/09/2025"/>
    <m/>
    <s v="Existing"/>
    <s v="Reliance Retail Ltd"/>
    <s v="Executive"/>
    <m/>
    <n v="43333"/>
    <n v="43333"/>
    <n v="0"/>
    <s v="1st to 31st"/>
    <s v="5 day"/>
    <n v="2"/>
    <n v="20"/>
    <m/>
    <m/>
    <s v="-"/>
    <m/>
    <s v="CGST/SGST"/>
    <m/>
  </r>
  <r>
    <x v="8"/>
    <s v="PRASHANT VIJAY SADVELKAR"/>
    <s v="JB-10104"/>
    <x v="0"/>
    <s v="13/02/2024"/>
    <m/>
    <s v="Existing"/>
    <s v="Hathway Digital Ltd."/>
    <m/>
    <m/>
    <n v="35340"/>
    <n v="35340"/>
    <n v="0"/>
    <s v="26th to 25th"/>
    <s v="5 day"/>
    <n v="2"/>
    <n v="16"/>
    <n v="3"/>
    <n v="2"/>
    <n v="0"/>
    <m/>
    <s v="CGST/SGST"/>
    <m/>
  </r>
  <r>
    <x v="8"/>
    <s v="ROHIT SAMPAT UMBARKAR"/>
    <s v="JB-10177"/>
    <x v="0"/>
    <s v="06/02/2025"/>
    <m/>
    <s v="Existing"/>
    <s v="Hathway Digital Ltd."/>
    <m/>
    <m/>
    <n v="35000"/>
    <n v="35000"/>
    <n v="0"/>
    <s v="26th to 25th"/>
    <s v="5 day"/>
    <n v="2"/>
    <n v="19"/>
    <n v="0"/>
    <n v="0"/>
    <n v="0"/>
    <m/>
    <s v="CGST/SGST"/>
    <m/>
  </r>
  <r>
    <x v="8"/>
    <s v="MAYUR DINANATH PATIL"/>
    <s v="JB-10184"/>
    <x v="0"/>
    <s v="16/06/2025"/>
    <m/>
    <s v="Existing"/>
    <s v="Hathway Digital Ltd."/>
    <m/>
    <m/>
    <n v="62500"/>
    <n v="62500"/>
    <n v="0"/>
    <s v="26th to 25th"/>
    <s v="5 day"/>
    <n v="2"/>
    <n v="19"/>
    <n v="0"/>
    <n v="0"/>
    <n v="0"/>
    <m/>
    <s v="CGST/SGST"/>
    <m/>
  </r>
  <r>
    <x v="8"/>
    <s v="PRANAV DEEPAK SHARMA"/>
    <s v="AB10083"/>
    <x v="0"/>
    <s v="11/09/2025"/>
    <m/>
    <s v="Existing"/>
    <s v="Hathway Digital Ltd."/>
    <m/>
    <m/>
    <n v="77000"/>
    <n v="77000"/>
    <n v="0"/>
    <s v="26th to 25th"/>
    <s v="5 day"/>
    <n v="2"/>
    <n v="9"/>
    <n v="11"/>
    <n v="0"/>
    <n v="0"/>
    <m/>
    <s v="CGST/SGST"/>
    <m/>
  </r>
  <r>
    <x v="9"/>
    <s v="SARITA MAHADEV PATIL"/>
    <s v="JB-10115"/>
    <x v="0"/>
    <s v="12/03/2024"/>
    <m/>
    <s v="Existing"/>
    <s v="Reliance Industries Ltd"/>
    <m/>
    <m/>
    <n v="23000"/>
    <n v="21000"/>
    <n v="2000"/>
    <s v="1st to 31st"/>
    <s v="5 day"/>
    <n v="3"/>
    <n v="18"/>
    <n v="1"/>
    <n v="1"/>
    <n v="0"/>
    <m/>
    <s v="CGST/SGST"/>
    <m/>
  </r>
  <r>
    <x v="9"/>
    <s v="HARSHADA VIJAY SHINDE"/>
    <s v="JB-10180"/>
    <x v="0"/>
    <s v="13/05/2025"/>
    <m/>
    <s v="Existing"/>
    <s v="Reliance Industries Ltd"/>
    <m/>
    <m/>
    <n v="22000"/>
    <n v="20000"/>
    <n v="2000"/>
    <s v="1st to 31st"/>
    <s v="5 day"/>
    <n v="3"/>
    <n v="19"/>
    <n v="0"/>
    <n v="0"/>
    <n v="0"/>
    <m/>
    <s v="CGST/SGST"/>
    <m/>
  </r>
  <r>
    <x v="9"/>
    <s v="DINKAR LAXMAN SALASKAR"/>
    <s v="AB10077"/>
    <x v="0"/>
    <s v="01/08/2025"/>
    <m/>
    <s v="Existing"/>
    <s v="Reliance Industries Ltd"/>
    <m/>
    <m/>
    <n v="22200"/>
    <n v="20200"/>
    <n v="2000"/>
    <s v="1st to 31st"/>
    <s v="5 day"/>
    <n v="3"/>
    <n v="19"/>
    <n v="0"/>
    <n v="0"/>
    <n v="0"/>
    <m/>
    <s v="CGST/SGST"/>
    <m/>
  </r>
  <r>
    <x v="10"/>
    <s v="DEEPASVI SURESH HINDALEKAR"/>
    <s v="JB-10034"/>
    <x v="0"/>
    <s v="01/03/2022"/>
    <m/>
    <s v="Existing"/>
    <s v="Reliance Industries Ltd"/>
    <m/>
    <m/>
    <n v="28000"/>
    <n v="28000"/>
    <n v="0"/>
    <s v="26th to 25th"/>
    <s v="6 day"/>
    <n v="1"/>
    <n v="25"/>
    <n v="0"/>
    <n v="0"/>
    <n v="0"/>
    <m/>
    <s v="CGST/SGST"/>
    <m/>
  </r>
  <r>
    <x v="10"/>
    <s v="PRAJAKTA SUDHIR GOSAVI"/>
    <s v="JB-10036"/>
    <x v="0"/>
    <s v="16/03/2022"/>
    <m/>
    <s v="Existing"/>
    <s v="Reliance Industries Ltd"/>
    <m/>
    <m/>
    <n v="24500"/>
    <n v="24500"/>
    <n v="0"/>
    <s v="26th to 25th"/>
    <s v="6 day"/>
    <n v="1"/>
    <n v="25"/>
    <n v="0"/>
    <n v="0"/>
    <n v="0"/>
    <m/>
    <s v="CGST/SGST"/>
    <m/>
  </r>
  <r>
    <x v="10"/>
    <s v="ANUJA BALIRAM BAHIRA"/>
    <s v="JB-10055"/>
    <x v="0"/>
    <s v="12/09/2022"/>
    <m/>
    <s v="Existing"/>
    <s v="Reliance Industries Ltd"/>
    <m/>
    <m/>
    <n v="23000"/>
    <n v="23000"/>
    <n v="0"/>
    <s v="26th to 25th"/>
    <s v="6 day"/>
    <n v="1"/>
    <n v="25"/>
    <n v="0"/>
    <n v="0"/>
    <n v="0"/>
    <m/>
    <s v="CGST/SGST"/>
    <m/>
  </r>
  <r>
    <x v="10"/>
    <s v="SARITA SUNDER POOJARI"/>
    <s v="JB-10056"/>
    <x v="0"/>
    <s v="26/09/2022"/>
    <m/>
    <s v="Existing"/>
    <s v="Reliance Industries Ltd"/>
    <m/>
    <m/>
    <n v="23000"/>
    <n v="23000"/>
    <n v="0"/>
    <s v="26th to 25th"/>
    <s v="6 day"/>
    <n v="1"/>
    <n v="25"/>
    <n v="0"/>
    <n v="0"/>
    <n v="0"/>
    <m/>
    <s v="CGST/SGST"/>
    <m/>
  </r>
  <r>
    <x v="10"/>
    <s v="JAYSHREE DIGAMBAR BHOSALE"/>
    <s v="JB-10121"/>
    <x v="0"/>
    <s v="01/05/2024"/>
    <m/>
    <s v="Existing"/>
    <s v="Reliance Industries Ltd"/>
    <m/>
    <m/>
    <n v="25000"/>
    <n v="25000"/>
    <n v="0"/>
    <s v="26th to 25th"/>
    <s v="6 day"/>
    <n v="1"/>
    <n v="25"/>
    <n v="0"/>
    <n v="0"/>
    <n v="0"/>
    <m/>
    <s v="CGST/SGST"/>
    <m/>
  </r>
  <r>
    <x v="10"/>
    <s v="HARSHADA DIPAK MAHADIK"/>
    <s v="JB-10139"/>
    <x v="0"/>
    <s v="20/08/2024"/>
    <m/>
    <s v="Existing"/>
    <s v="Reliance Industries Ltd"/>
    <m/>
    <m/>
    <n v="25398"/>
    <n v="25398"/>
    <n v="0"/>
    <s v="26th to 25th"/>
    <s v="6 day"/>
    <n v="1"/>
    <n v="25"/>
    <n v="0"/>
    <n v="0"/>
    <n v="0"/>
    <m/>
    <s v="CGST/SGST"/>
    <m/>
  </r>
  <r>
    <x v="10"/>
    <s v="ARCHANA DNYANESHWAR ANDHERE"/>
    <s v="JB-10225"/>
    <x v="0"/>
    <s v="08/09/2025"/>
    <m/>
    <s v="Existing"/>
    <s v="Reliance Industries Ltd"/>
    <m/>
    <m/>
    <n v="24800"/>
    <n v="24800"/>
    <n v="0"/>
    <s v="26th to 25th"/>
    <s v="6 day"/>
    <n v="1"/>
    <n v="25"/>
    <n v="0"/>
    <n v="0"/>
    <n v="0"/>
    <m/>
    <s v="CGST/SGST"/>
    <m/>
  </r>
  <r>
    <x v="11"/>
    <s v="AAKASH BOHARA"/>
    <s v="AB10081"/>
    <x v="2"/>
    <s v="15/09/2025"/>
    <m/>
    <s v="Existing"/>
    <s v="HDFC Bank"/>
    <m/>
    <m/>
    <n v="106920"/>
    <n v="106920"/>
    <n v="0"/>
    <s v="1st to 31st"/>
    <s v="5 day"/>
    <n v="1"/>
    <n v="19"/>
    <n v="2"/>
    <n v="2"/>
    <n v="0"/>
    <m/>
    <s v="CGST/SGST"/>
    <m/>
  </r>
  <r>
    <x v="12"/>
    <s v="RACHANA VISHNU MORE"/>
    <s v="JB-10187"/>
    <x v="0"/>
    <s v="23/05/2025"/>
    <m/>
    <s v="Existing"/>
    <s v="Reliance Retail Ltd"/>
    <s v="Manager"/>
    <m/>
    <n v="100000"/>
    <n v="100000"/>
    <n v="0"/>
    <s v="25th to 24th"/>
    <s v="5 day"/>
    <n v="1"/>
    <n v="21"/>
    <n v="0"/>
    <n v="0"/>
    <n v="0"/>
    <m/>
    <s v="CGST/SGST"/>
    <m/>
  </r>
  <r>
    <x v="12"/>
    <s v="PRAKASH VAJUBHAI WADHEL"/>
    <s v="JB-10188"/>
    <x v="0"/>
    <s v="27/05/2025"/>
    <m/>
    <s v="Existing"/>
    <s v="Reliance Retail Ltd"/>
    <s v="Manager"/>
    <m/>
    <n v="100000"/>
    <n v="100000"/>
    <n v="0"/>
    <s v="25th to 24th"/>
    <s v="5 day"/>
    <n v="1"/>
    <n v="21"/>
    <n v="0"/>
    <n v="0"/>
    <n v="0"/>
    <m/>
    <s v="CGST/SGST"/>
    <m/>
  </r>
  <r>
    <x v="13"/>
    <s v="VIJETA SUMEET NILE"/>
    <s v="JB-10057"/>
    <x v="0"/>
    <s v="26/09/2022"/>
    <m/>
    <s v="Existing"/>
    <s v="Reliance Retail Ltd"/>
    <m/>
    <m/>
    <n v="35280"/>
    <n v="35280"/>
    <n v="0"/>
    <s v="1st to 31st"/>
    <s v="5 day"/>
    <n v="2"/>
    <n v="20"/>
    <n v="0"/>
    <n v="0"/>
    <n v="0"/>
    <m/>
    <s v="CGST/SGST"/>
    <m/>
  </r>
  <r>
    <x v="14"/>
    <s v="POOJA KUMARI"/>
    <s v="JB-10262"/>
    <x v="0"/>
    <d v="2026-01-27T00:00:00"/>
    <m/>
    <s v="Existing"/>
    <s v="Reliance Industries Ltd"/>
    <m/>
    <m/>
    <n v="55000"/>
    <n v="55000"/>
    <n v="0"/>
    <s v="1st to 31st"/>
    <s v="5 day"/>
    <n v="1"/>
    <n v="19"/>
    <s v="-"/>
    <s v="-"/>
    <s v="-"/>
    <m/>
    <s v="CGST/SGST"/>
    <m/>
  </r>
  <r>
    <x v="14"/>
    <s v="ANKIT NAVNATH JADHAV"/>
    <s v="JB-10261"/>
    <x v="0"/>
    <s v="15/01/2026"/>
    <m/>
    <s v="Existing"/>
    <s v="Reliance Industries Ltd"/>
    <m/>
    <m/>
    <n v="52000"/>
    <n v="52000"/>
    <n v="0"/>
    <s v="1st to 31st"/>
    <s v="5 day"/>
    <s v="-"/>
    <n v="2"/>
    <n v="2"/>
    <s v="-"/>
    <s v="-"/>
    <m/>
    <s v="CGST/SGST"/>
    <m/>
  </r>
  <r>
    <x v="15"/>
    <s v="VISMAYA SURESH NAIR"/>
    <s v="AB10061"/>
    <x v="0"/>
    <s v="01/06/2024"/>
    <m/>
    <s v="Existing"/>
    <s v="Titan Company Ltd"/>
    <s v="Executive"/>
    <m/>
    <n v="22000"/>
    <n v="22000"/>
    <n v="0"/>
    <s v="1st to 31st"/>
    <s v="5 day"/>
    <n v="3"/>
    <n v="17"/>
    <n v="2"/>
    <n v="2"/>
    <m/>
    <m/>
    <s v="CGST/SGST"/>
    <m/>
  </r>
  <r>
    <x v="15"/>
    <s v="RENUKA SHRIVASTAV"/>
    <s v="AB10063"/>
    <x v="0"/>
    <s v="01/06/2024"/>
    <m/>
    <s v="Existing"/>
    <s v="Titan Company Ltd"/>
    <s v="Executive"/>
    <m/>
    <n v="22000"/>
    <n v="22000"/>
    <n v="0"/>
    <s v="1st to 31st"/>
    <s v="5 day"/>
    <n v="3"/>
    <n v="16"/>
    <n v="3"/>
    <n v="2"/>
    <m/>
    <m/>
    <s v="CGST/SGST"/>
    <m/>
  </r>
  <r>
    <x v="15"/>
    <s v="NIKITA TAMBE"/>
    <s v="AB10080"/>
    <x v="0"/>
    <s v="06/10/2025"/>
    <m/>
    <s v="Existing"/>
    <s v="Titan Company Ltd"/>
    <s v="Executive"/>
    <m/>
    <n v="26200"/>
    <n v="26200"/>
    <n v="0"/>
    <s v="1st to 31st"/>
    <s v="5 day"/>
    <n v="3"/>
    <n v="19"/>
    <n v="0"/>
    <n v="0"/>
    <m/>
    <m/>
    <s v="CGST/SGST"/>
    <m/>
  </r>
  <r>
    <x v="15"/>
    <s v="AKASH DILIPKUMAR GUPTA"/>
    <s v="AB10085"/>
    <x v="0"/>
    <s v="28/10/2025"/>
    <m/>
    <s v="Existing"/>
    <s v="Titan Company Ltd"/>
    <s v="Executive"/>
    <m/>
    <n v="19200"/>
    <n v="19200"/>
    <n v="0"/>
    <s v="1st to 31st"/>
    <s v="5 day"/>
    <n v="3"/>
    <n v="18"/>
    <n v="1"/>
    <n v="1"/>
    <m/>
    <m/>
    <s v="CGST/SGST"/>
    <m/>
  </r>
  <r>
    <x v="15"/>
    <s v="RIDDHI RAVINDRA NARKAR"/>
    <s v="AB10087"/>
    <x v="0"/>
    <s v="01/12/2025"/>
    <m/>
    <s v="Existing"/>
    <s v="Titan Company Ltd"/>
    <s v="Manager"/>
    <m/>
    <n v="31000"/>
    <n v="31000"/>
    <n v="0"/>
    <s v="1st to 31st"/>
    <s v="5 day"/>
    <n v="3"/>
    <n v="19"/>
    <n v="0"/>
    <n v="0"/>
    <m/>
    <m/>
    <s v="CGST/SGST"/>
    <m/>
  </r>
  <r>
    <x v="15"/>
    <s v="VINAY YASWANT JOSHI"/>
    <s v="AB10088"/>
    <x v="0"/>
    <s v="01/02/2026"/>
    <m/>
    <s v="Existing"/>
    <s v="Titan Company Ltd"/>
    <s v="Executive"/>
    <m/>
    <n v="26600"/>
    <n v="26600"/>
    <n v="0"/>
    <s v="1st to 31st"/>
    <s v="5 day"/>
    <n v="3"/>
    <n v="19"/>
    <n v="0"/>
    <n v="0"/>
    <m/>
    <m/>
    <s v="CGST/SGST"/>
    <m/>
  </r>
  <r>
    <x v="16"/>
    <s v="KOTIAN ABHISH ANIL"/>
    <s v="JB-10241"/>
    <x v="0"/>
    <s v="25/11/2025"/>
    <m/>
    <s v="Existing"/>
    <s v="Reliance Industries Ltd"/>
    <m/>
    <m/>
    <n v="60000"/>
    <n v="60000"/>
    <n v="0"/>
    <s v="1st to 31st"/>
    <s v="5 day"/>
    <n v="1"/>
    <n v="21"/>
    <s v="-"/>
    <s v="-"/>
    <s v="-"/>
    <m/>
    <s v="CGST/SGST"/>
    <m/>
  </r>
  <r>
    <x v="16"/>
    <s v="DARSHANA KRISHNA GUDULKAR"/>
    <s v="JB-10168"/>
    <x v="0"/>
    <s v="05/01/2026"/>
    <m/>
    <s v="Existing"/>
    <s v="Reliance Industries Ltd"/>
    <m/>
    <m/>
    <n v="50000"/>
    <n v="50000"/>
    <n v="0"/>
    <s v="1st to 31st"/>
    <s v="5 day"/>
    <n v="1"/>
    <n v="16"/>
    <n v="4"/>
    <n v="1"/>
    <s v="-"/>
    <m/>
    <s v="CGST/SGST"/>
    <m/>
  </r>
  <r>
    <x v="17"/>
    <s v="PRATHAMESH DNYANESHWAR PEDNEKAR"/>
    <s v="JB-10171"/>
    <x v="0"/>
    <s v="03/01/2025"/>
    <m/>
    <s v="Existing"/>
    <s v="Reliance Industries Ltd"/>
    <m/>
    <m/>
    <n v="44800"/>
    <n v="41800"/>
    <n v="3000"/>
    <s v="1st to 31st"/>
    <s v="5 day"/>
    <n v="2"/>
    <n v="16"/>
    <n v="4"/>
    <n v="4"/>
    <n v="0"/>
    <m/>
    <s v="CGST/SGST"/>
    <m/>
  </r>
  <r>
    <x v="17"/>
    <s v="PRIYANKA VITTHAL NAVGHANE"/>
    <s v="JB-10172"/>
    <x v="0"/>
    <s v="03/01/2025"/>
    <m/>
    <s v="Existing"/>
    <s v="Reliance Industries Ltd"/>
    <m/>
    <m/>
    <n v="36800"/>
    <n v="33800"/>
    <n v="3000"/>
    <s v="1st to 31st"/>
    <s v="5 day"/>
    <n v="2"/>
    <n v="18"/>
    <n v="2"/>
    <n v="2"/>
    <n v="0"/>
    <m/>
    <s v="CGST/SGST"/>
    <m/>
  </r>
  <r>
    <x v="18"/>
    <s v="CHETAN NARAYAN POOJARI"/>
    <s v="BGK009"/>
    <x v="2"/>
    <d v="2024-07-22T00:00:00"/>
    <m/>
    <s v="Existing"/>
    <s v="HDFC Bank"/>
    <m/>
    <m/>
    <n v="15000"/>
    <n v="15000"/>
    <n v="0"/>
    <m/>
    <m/>
    <m/>
    <m/>
    <m/>
    <m/>
    <m/>
    <m/>
    <m/>
    <m/>
  </r>
  <r>
    <x v="18"/>
    <s v="VISHAL RAMESH GAWADE"/>
    <s v="AB10032"/>
    <x v="2"/>
    <d v="2023-11-30T00:00:00"/>
    <m/>
    <s v="Existing"/>
    <s v="HDFC Bank"/>
    <m/>
    <m/>
    <n v="30038"/>
    <n v="30038"/>
    <n v="0"/>
    <m/>
    <m/>
    <m/>
    <m/>
    <m/>
    <m/>
    <m/>
    <m/>
    <m/>
    <m/>
  </r>
  <r>
    <x v="18"/>
    <s v="TARANNUM SHAIKH"/>
    <s v="AB10089"/>
    <x v="2"/>
    <s v="14/01/2026"/>
    <m/>
    <s v="Existing"/>
    <s v="HDFC Bank"/>
    <m/>
    <m/>
    <n v="13500"/>
    <n v="13500"/>
    <n v="0"/>
    <m/>
    <m/>
    <m/>
    <m/>
    <m/>
    <m/>
    <m/>
    <m/>
    <m/>
    <m/>
  </r>
  <r>
    <x v="19"/>
    <s v="MAYURI VILAS MANJALKAR"/>
    <s v="JB-10040"/>
    <x v="0"/>
    <s v="21/04/2022"/>
    <m/>
    <s v="Existing"/>
    <s v="Reliance Industries Ltd"/>
    <m/>
    <m/>
    <n v="23385"/>
    <n v="23385"/>
    <n v="0"/>
    <s v="1st to 31st"/>
    <s v="6 day"/>
    <n v="2"/>
    <n v="25"/>
    <n v="0"/>
    <n v="0"/>
    <n v="0"/>
    <m/>
    <s v="CGST/SGST"/>
    <m/>
  </r>
  <r>
    <x v="19"/>
    <s v="SHRAVANI SAGAR NARKAR"/>
    <s v="JB-10007"/>
    <x v="0"/>
    <s v="25/10/2019"/>
    <m/>
    <s v="Existing"/>
    <s v="Reliance Industries Ltd"/>
    <m/>
    <m/>
    <n v="23235"/>
    <n v="23235"/>
    <n v="0"/>
    <s v="1st to 31st"/>
    <s v="6 day"/>
    <n v="2"/>
    <n v="25"/>
    <n v="0"/>
    <n v="0"/>
    <n v="0"/>
    <m/>
    <s v="CGST/SGST"/>
    <m/>
  </r>
  <r>
    <x v="19"/>
    <s v="DIKSHA SACHIN JADHAV"/>
    <s v="JB-10049"/>
    <x v="0"/>
    <s v="26/06/2022"/>
    <m/>
    <s v="Existing"/>
    <s v="Reliance Industries Ltd"/>
    <m/>
    <m/>
    <n v="22884"/>
    <n v="22884"/>
    <n v="0"/>
    <s v="1st to 31st"/>
    <s v="6 day"/>
    <n v="2"/>
    <n v="22"/>
    <n v="3"/>
    <n v="3"/>
    <n v="0"/>
    <m/>
    <s v="CGST/SGST"/>
    <m/>
  </r>
  <r>
    <x v="19"/>
    <s v="PRATIKSHA DILIP POTE"/>
    <s v="JB-10051"/>
    <x v="0"/>
    <s v="27/07/2022"/>
    <m/>
    <s v="Existing"/>
    <s v="Reliance Industries Ltd"/>
    <m/>
    <m/>
    <n v="22398"/>
    <n v="22398"/>
    <n v="0"/>
    <s v="1st to 31st"/>
    <s v="6 day"/>
    <n v="2"/>
    <n v="23"/>
    <n v="2"/>
    <n v="2"/>
    <n v="0"/>
    <m/>
    <s v="CGST/SGST"/>
    <m/>
  </r>
  <r>
    <x v="19"/>
    <s v="ANIKET ANANDA DHANAWADE"/>
    <s v="JB-10069"/>
    <x v="0"/>
    <s v="06/03/2023"/>
    <m/>
    <s v="Existing"/>
    <s v="Reliance Industries Ltd"/>
    <m/>
    <m/>
    <n v="22051"/>
    <n v="22051"/>
    <n v="0"/>
    <s v="1st to 31st"/>
    <s v="6 day"/>
    <n v="2"/>
    <n v="22"/>
    <n v="3"/>
    <n v="3"/>
    <n v="0"/>
    <m/>
    <s v="CGST/SGST"/>
    <m/>
  </r>
  <r>
    <x v="19"/>
    <s v="ROSHANI DEEPAK KANDAR"/>
    <s v="JB-10070"/>
    <x v="0"/>
    <s v="06/03/2023"/>
    <m/>
    <s v="Existing"/>
    <s v="Reliance Industries Ltd"/>
    <m/>
    <m/>
    <n v="22051"/>
    <n v="22051"/>
    <n v="0"/>
    <s v="1st to 31st"/>
    <s v="6 day"/>
    <n v="2"/>
    <n v="24"/>
    <n v="1"/>
    <n v="1"/>
    <n v="0"/>
    <m/>
    <s v="CGST/SGST"/>
    <m/>
  </r>
  <r>
    <x v="19"/>
    <s v="SHRUTI JADHAV"/>
    <s v="JB-10113"/>
    <x v="0"/>
    <s v="07/03/2024"/>
    <m/>
    <s v="Existing"/>
    <s v="Reliance Industries Ltd"/>
    <m/>
    <m/>
    <n v="20735"/>
    <n v="20735"/>
    <n v="0"/>
    <s v="1st to 31st"/>
    <s v="6 day"/>
    <n v="2"/>
    <n v="24"/>
    <n v="1"/>
    <n v="1"/>
    <n v="0"/>
    <m/>
    <s v="CGST/SGST"/>
    <m/>
  </r>
  <r>
    <x v="19"/>
    <s v="MAYURI ANANT PANHALKAR"/>
    <s v="JB-10117"/>
    <x v="0"/>
    <s v="07/03/2024"/>
    <m/>
    <s v="Existing"/>
    <s v="Reliance Industries Ltd"/>
    <m/>
    <m/>
    <n v="20735"/>
    <n v="20735"/>
    <n v="0"/>
    <s v="1st to 31st"/>
    <s v="6 day"/>
    <n v="2"/>
    <n v="24"/>
    <n v="1"/>
    <n v="1"/>
    <n v="0"/>
    <m/>
    <s v="CGST/SGST"/>
    <m/>
  </r>
  <r>
    <x v="19"/>
    <s v="SAKSHI SURESH DAKVE"/>
    <s v="JB-10137"/>
    <x v="0"/>
    <s v="08/07/2024"/>
    <m/>
    <s v="Existing"/>
    <s v="Reliance Industries Ltd"/>
    <m/>
    <m/>
    <n v="20735"/>
    <n v="20735"/>
    <n v="0"/>
    <s v="1st to 31st"/>
    <s v="6 day"/>
    <n v="2"/>
    <n v="25"/>
    <n v="0"/>
    <n v="0"/>
    <n v="0"/>
    <m/>
    <s v="CGST/SGST"/>
    <m/>
  </r>
  <r>
    <x v="19"/>
    <s v="ANKITA SHRIPATI NALAWADE"/>
    <s v="JB-10138"/>
    <x v="0"/>
    <s v="08/07/2024"/>
    <m/>
    <s v="Existing"/>
    <s v="Reliance Industries Ltd"/>
    <m/>
    <m/>
    <n v="20735"/>
    <n v="20735"/>
    <n v="0"/>
    <s v="1st to 31st"/>
    <s v="6 day"/>
    <n v="2"/>
    <n v="23"/>
    <n v="2"/>
    <n v="2"/>
    <n v="0"/>
    <m/>
    <s v="CGST/SGST"/>
    <m/>
  </r>
  <r>
    <x v="19"/>
    <s v="VISHAL VITTHAL SALATE"/>
    <s v="JB-10140"/>
    <x v="0"/>
    <s v="26/08/2024"/>
    <m/>
    <s v="Existing"/>
    <s v="Reliance Industries Ltd"/>
    <m/>
    <m/>
    <n v="20735"/>
    <n v="20735"/>
    <n v="0"/>
    <s v="1st to 31st"/>
    <s v="6 day"/>
    <n v="2"/>
    <n v="24"/>
    <n v="1"/>
    <n v="1"/>
    <n v="0"/>
    <m/>
    <s v="CGST/SGST"/>
    <m/>
  </r>
  <r>
    <x v="19"/>
    <s v="SHRUTI SHASHIKANT PAWAR"/>
    <s v="JB-10156"/>
    <x v="0"/>
    <s v="02/12/2024"/>
    <m/>
    <s v="Existing"/>
    <s v="Reliance Industries Ltd"/>
    <m/>
    <m/>
    <n v="20735"/>
    <n v="20735"/>
    <n v="0"/>
    <s v="1st to 31st"/>
    <s v="6 day"/>
    <n v="2"/>
    <n v="24"/>
    <n v="1"/>
    <n v="1"/>
    <n v="0"/>
    <m/>
    <s v="CGST/SGST"/>
    <m/>
  </r>
  <r>
    <x v="19"/>
    <s v="TANVI MADHUKAR PANSARE"/>
    <s v="JB-10159"/>
    <x v="0"/>
    <s v="16/12/2024"/>
    <m/>
    <s v="Existing"/>
    <s v="Reliance Industries Ltd"/>
    <m/>
    <m/>
    <n v="20735"/>
    <n v="20735"/>
    <n v="0"/>
    <s v="1st to 31st"/>
    <s v="6 day"/>
    <n v="2"/>
    <n v="25"/>
    <n v="0"/>
    <n v="0"/>
    <n v="0"/>
    <m/>
    <s v="CGST/SGST"/>
    <m/>
  </r>
  <r>
    <x v="19"/>
    <s v="SAHIL LAHU MHATRE"/>
    <s v="JB-10160"/>
    <x v="0"/>
    <s v="16/12/2024"/>
    <m/>
    <s v="Existing"/>
    <s v="Reliance Industries Ltd"/>
    <m/>
    <m/>
    <n v="20735"/>
    <n v="20735"/>
    <n v="0"/>
    <s v="1st to 31st"/>
    <s v="6 day"/>
    <n v="2"/>
    <n v="23"/>
    <n v="2"/>
    <n v="2"/>
    <n v="0"/>
    <m/>
    <s v="CGST/SGST"/>
    <m/>
  </r>
  <r>
    <x v="19"/>
    <s v="VIVEK VINOD TIWARI"/>
    <s v="JB-10163"/>
    <x v="0"/>
    <s v="23/12/2024"/>
    <m/>
    <s v="Existing"/>
    <s v="Reliance Industries Ltd"/>
    <m/>
    <m/>
    <n v="20735"/>
    <n v="20735"/>
    <n v="0"/>
    <s v="1st to 31st"/>
    <s v="6 day"/>
    <n v="2"/>
    <n v="24"/>
    <n v="1"/>
    <n v="1"/>
    <n v="0"/>
    <m/>
    <s v="CGST/SGST"/>
    <m/>
  </r>
  <r>
    <x v="19"/>
    <s v="SHRUTI CHANDRAKANT UTEKAR"/>
    <s v="JB-10165"/>
    <x v="0"/>
    <s v="23/12/2024"/>
    <m/>
    <s v="Existing"/>
    <s v="Reliance Industries Ltd"/>
    <m/>
    <m/>
    <n v="20735"/>
    <n v="20735"/>
    <n v="0"/>
    <s v="1st to 31st"/>
    <s v="6 day"/>
    <n v="2"/>
    <n v="20"/>
    <n v="5"/>
    <n v="5"/>
    <n v="0"/>
    <m/>
    <s v="CGST/SGST"/>
    <m/>
  </r>
  <r>
    <x v="20"/>
    <s v="VAIBHAV JAGDISH PATIL"/>
    <s v="JB-10065"/>
    <x v="0"/>
    <s v="09/12/2022"/>
    <m/>
    <s v="Existing"/>
    <s v="Reliance Industries Ltd"/>
    <m/>
    <m/>
    <n v="27297"/>
    <n v="27297"/>
    <n v="0"/>
    <s v="1st to 31st"/>
    <s v="5 day"/>
    <n v="2"/>
    <n v="18"/>
    <n v="2"/>
    <n v="2"/>
    <n v="0"/>
    <m/>
    <s v="CGST/SGST"/>
    <m/>
  </r>
  <r>
    <x v="20"/>
    <s v="SANDESH LAXMAN PAWAR"/>
    <s v="JB-10127"/>
    <x v="0"/>
    <s v="08/05/2024"/>
    <m/>
    <s v="Existing"/>
    <s v="Reliance Industries Ltd"/>
    <m/>
    <m/>
    <n v="29522"/>
    <n v="29522"/>
    <n v="0"/>
    <s v="1st to 31st"/>
    <s v="5 day"/>
    <n v="2"/>
    <n v="20"/>
    <n v="0"/>
    <n v="0"/>
    <n v="0"/>
    <m/>
    <s v="CGST/SGST"/>
    <m/>
  </r>
  <r>
    <x v="21"/>
    <s v="NISHIBEN VIPULKUMAR JAYSWAL"/>
    <s v="JB-10226"/>
    <x v="0"/>
    <s v="17/09/2025"/>
    <m/>
    <s v="Existing"/>
    <s v="Reliance Retail Ltd"/>
    <s v="Manager"/>
    <m/>
    <n v="108333"/>
    <n v="108333"/>
    <n v="0"/>
    <s v="1st to 31st"/>
    <s v="5 day"/>
    <n v="2"/>
    <n v="18"/>
    <n v="2"/>
    <n v="2"/>
    <s v="-"/>
    <m/>
    <s v="CGST/SGST"/>
    <m/>
  </r>
  <r>
    <x v="22"/>
    <s v="POOJA VASANT KHOPADE"/>
    <s v="JB-10152"/>
    <x v="0"/>
    <s v="11/08/2025"/>
    <m/>
    <s v="Existing"/>
    <s v="Reliance Industries Ltd"/>
    <s v="Manager"/>
    <m/>
    <n v="85804"/>
    <n v="85804"/>
    <n v="0"/>
    <s v="1st to 31st"/>
    <s v="5 day"/>
    <n v="2"/>
    <n v="20"/>
    <s v="-"/>
    <s v="-"/>
    <s v="-"/>
    <m/>
    <s v="CGST/SGST"/>
    <m/>
  </r>
  <r>
    <x v="22"/>
    <s v="IRSHA RAMESH SHINDE"/>
    <s v="JB-10246"/>
    <x v="0"/>
    <s v="08/12/2025"/>
    <m/>
    <s v="Existing"/>
    <s v="Reliance Industries Ltd"/>
    <s v="Manager"/>
    <m/>
    <n v="108333"/>
    <n v="108333"/>
    <n v="0"/>
    <s v="1st to 31st"/>
    <s v="5 day"/>
    <n v="2"/>
    <n v="13"/>
    <n v="10"/>
    <n v="2"/>
    <s v="-"/>
    <m/>
    <s v="CGST/SGST"/>
    <m/>
  </r>
  <r>
    <x v="22"/>
    <s v="SANDHYA SAIKIRAN DASARI"/>
    <s v="JB-10135"/>
    <x v="0"/>
    <s v="10/07/2024"/>
    <m/>
    <s v="Existing"/>
    <s v="Reliance Industries Ltd"/>
    <s v="Executive"/>
    <m/>
    <n v="40000"/>
    <n v="40000"/>
    <n v="0"/>
    <s v="1st to 31st"/>
    <s v="5 day"/>
    <n v="2"/>
    <n v="20"/>
    <s v="-"/>
    <s v="-"/>
    <s v="-"/>
    <m/>
    <s v="CGST/SGST"/>
    <m/>
  </r>
  <r>
    <x v="22"/>
    <s v="ROOPA RAJESH NAIK"/>
    <s v="JB-10183"/>
    <x v="0"/>
    <s v="03/06/2025"/>
    <m/>
    <s v="Existing"/>
    <s v="Reliance Industries Ltd"/>
    <s v="Executive"/>
    <m/>
    <n v="73800"/>
    <n v="73800"/>
    <n v="0"/>
    <s v="1st to 31st"/>
    <s v="5 day"/>
    <n v="2"/>
    <n v="17"/>
    <n v="3"/>
    <n v="2"/>
    <s v="-"/>
    <m/>
    <s v="CGST/SGST"/>
    <m/>
  </r>
  <r>
    <x v="22"/>
    <s v="AARTI UPADHYAY"/>
    <s v="JB-10234"/>
    <x v="0"/>
    <s v="09/10/2025"/>
    <m/>
    <s v="Existing"/>
    <s v="Reliance Industries Ltd"/>
    <s v="Executive"/>
    <m/>
    <n v="77100"/>
    <n v="77100"/>
    <n v="0"/>
    <s v="1st to 31st"/>
    <s v="5 day"/>
    <n v="2"/>
    <n v="20"/>
    <s v="-"/>
    <s v="-"/>
    <s v="-"/>
    <m/>
    <s v="CGST/SGST"/>
    <m/>
  </r>
  <r>
    <x v="22"/>
    <s v="ANKITA SANTOSH MHATRE"/>
    <s v="JB-10248"/>
    <x v="0"/>
    <s v="23/12/2025"/>
    <m/>
    <s v="Existing"/>
    <s v="Reliance Industries Ltd"/>
    <s v="Manager"/>
    <m/>
    <n v="100000"/>
    <n v="100000"/>
    <n v="0"/>
    <s v="1st to 31st"/>
    <s v="5 day"/>
    <n v="2"/>
    <n v="20"/>
    <s v="-"/>
    <s v="-"/>
    <s v="-"/>
    <m/>
    <s v="CGST/SGST"/>
    <m/>
  </r>
  <r>
    <x v="22"/>
    <s v="RITESH SHARAD PATIL"/>
    <s v="JB-10278"/>
    <x v="0"/>
    <s v="16/02/2026"/>
    <m/>
    <s v="New Joiner"/>
    <s v="Reliance Industries Ltd"/>
    <s v="Executive"/>
    <m/>
    <n v="83333"/>
    <n v="83333"/>
    <n v="0"/>
    <s v="1st to 31st"/>
    <s v="5 day"/>
    <m/>
    <m/>
    <m/>
    <m/>
    <m/>
    <m/>
    <s v="CGST/SGST"/>
    <m/>
  </r>
  <r>
    <x v="22"/>
    <s v="ANISHKA KHANDELWAL"/>
    <m/>
    <x v="0"/>
    <d v="2026-02-23T00:00:00"/>
    <m/>
    <s v="New Joiner"/>
    <s v="Reliance Industries Ltd"/>
    <s v="Executive"/>
    <m/>
    <n v="83333"/>
    <n v="83333"/>
    <n v="0"/>
    <s v="1st to 31st"/>
    <s v="5 day"/>
    <m/>
    <m/>
    <m/>
    <m/>
    <m/>
    <m/>
    <s v="CGST/SGST"/>
    <m/>
  </r>
  <r>
    <x v="23"/>
    <m/>
    <m/>
    <x v="3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A1:B33" firstHeaderRow="1" firstDataRow="1" firstDataCol="1"/>
  <pivotFields count="23">
    <pivotField axis="axisRow" showAll="0" sortType="ascending">
      <items count="26">
        <item x="0"/>
        <item x="1"/>
        <item x="2"/>
        <item x="3"/>
        <item x="4"/>
        <item x="5"/>
        <item m="1" x="2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3"/>
    <field x="0"/>
  </rowFields>
  <rowItems count="32">
    <i>
      <x/>
    </i>
    <i r="1">
      <x v="5"/>
    </i>
    <i r="1">
      <x v="12"/>
    </i>
    <i r="1">
      <x v="19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>
      <x v="3"/>
    </i>
    <i r="1">
      <x v="24"/>
    </i>
    <i t="grand">
      <x/>
    </i>
  </rowItems>
  <colItems count="1">
    <i/>
  </colItems>
  <dataFields count="1">
    <dataField name="Count of Employe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W67" totalsRowShown="0">
  <autoFilter ref="A1:W67"/>
  <tableColumns count="23">
    <tableColumn id="1" name="Kind Attention Person"/>
    <tableColumn id="2" name="Employee Name"/>
    <tableColumn id="3" name="Employee Code"/>
    <tableColumn id="4" name="Company Name"/>
    <tableColumn id="5" name="Date of Joining"/>
    <tableColumn id="6" name="LDW"/>
    <tableColumn id="7" name="Employee Type"/>
    <tableColumn id="8" name="Working At"/>
    <tableColumn id="9" name="Position"/>
    <tableColumn id="10" name="Reporting Person"/>
    <tableColumn id="11" name="Billing"/>
    <tableColumn id="12" name="Salary"/>
    <tableColumn id="13" name="Diff"/>
    <tableColumn id="14" name="Billing Cycle"/>
    <tableColumn id="15" name="Workweek"/>
    <tableColumn id="16" name="No of Holidays"/>
    <tableColumn id="17" name="Total Present"/>
    <tableColumn id="18" name="Absents this Month"/>
    <tableColumn id="19" name="Adjustment of Days"/>
    <tableColumn id="20" name="Out of Pocket Exp"/>
    <tableColumn id="21" name="Arrears"/>
    <tableColumn id="22" name="GST"/>
    <tableColumn id="23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81"/>
  <sheetViews>
    <sheetView tabSelected="1" topLeftCell="K154" zoomScale="70" zoomScaleNormal="70" workbookViewId="0">
      <selection activeCell="Z181" sqref="Z181"/>
    </sheetView>
  </sheetViews>
  <sheetFormatPr defaultRowHeight="14.5" x14ac:dyDescent="0.35"/>
  <cols>
    <col min="1" max="1" width="24.36328125" style="4" bestFit="1" customWidth="1"/>
    <col min="2" max="2" width="38.90625" style="30" bestFit="1" customWidth="1"/>
    <col min="3" max="3" width="16.81640625" style="4" bestFit="1" customWidth="1"/>
    <col min="4" max="4" width="17" style="4" bestFit="1" customWidth="1"/>
    <col min="5" max="6" width="16.08984375" style="4" customWidth="1"/>
    <col min="7" max="7" width="16.54296875" style="2" customWidth="1"/>
    <col min="8" max="8" width="20.54296875" style="2" customWidth="1"/>
    <col min="9" max="9" width="10.54296875" style="2" customWidth="1"/>
    <col min="10" max="10" width="27.7265625" customWidth="1"/>
    <col min="11" max="11" width="9" bestFit="1" customWidth="1"/>
    <col min="12" max="12" width="8.7265625" bestFit="1" customWidth="1"/>
    <col min="13" max="13" width="6.90625" bestFit="1" customWidth="1"/>
    <col min="14" max="14" width="13.90625" bestFit="1" customWidth="1"/>
    <col min="15" max="15" width="12.81640625" bestFit="1" customWidth="1"/>
    <col min="16" max="16" width="15.90625" bestFit="1" customWidth="1"/>
    <col min="17" max="17" width="15" bestFit="1" customWidth="1"/>
    <col min="18" max="18" width="20.54296875" bestFit="1" customWidth="1"/>
    <col min="19" max="19" width="20.453125" bestFit="1" customWidth="1"/>
    <col min="20" max="20" width="18.7265625" bestFit="1" customWidth="1"/>
    <col min="21" max="21" width="10" bestFit="1" customWidth="1"/>
    <col min="22" max="22" width="10.26953125" bestFit="1" customWidth="1"/>
    <col min="23" max="23" width="26.6328125" bestFit="1" customWidth="1"/>
  </cols>
  <sheetData>
    <row r="1" spans="1:16383" x14ac:dyDescent="0.35">
      <c r="A1" s="11" t="s">
        <v>0</v>
      </c>
      <c r="B1" s="11" t="s">
        <v>2</v>
      </c>
      <c r="C1" s="11" t="s">
        <v>1</v>
      </c>
      <c r="D1" s="11" t="s">
        <v>3</v>
      </c>
      <c r="E1" s="11" t="s">
        <v>4</v>
      </c>
      <c r="F1" s="11" t="s">
        <v>608</v>
      </c>
      <c r="G1" s="11" t="s">
        <v>5</v>
      </c>
      <c r="H1" s="11" t="s">
        <v>6</v>
      </c>
      <c r="I1" s="11" t="s">
        <v>7</v>
      </c>
      <c r="J1" s="10" t="s">
        <v>346</v>
      </c>
      <c r="K1" s="10" t="s">
        <v>8</v>
      </c>
      <c r="L1" s="10" t="s">
        <v>9</v>
      </c>
      <c r="M1" s="10" t="s">
        <v>10</v>
      </c>
      <c r="N1" s="10" t="s">
        <v>11</v>
      </c>
      <c r="O1" s="11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0" t="s">
        <v>19</v>
      </c>
      <c r="W1" s="10" t="s">
        <v>20</v>
      </c>
    </row>
    <row r="2" spans="1:16383" x14ac:dyDescent="0.35">
      <c r="A2" s="16" t="s">
        <v>401</v>
      </c>
      <c r="B2" s="16" t="s">
        <v>400</v>
      </c>
      <c r="C2" s="16" t="s">
        <v>589</v>
      </c>
      <c r="D2" s="16" t="s">
        <v>23</v>
      </c>
      <c r="E2" s="14" t="s">
        <v>402</v>
      </c>
      <c r="F2" s="14"/>
      <c r="G2" s="16" t="s">
        <v>25</v>
      </c>
      <c r="H2" s="25" t="s">
        <v>26</v>
      </c>
      <c r="I2" s="16" t="s">
        <v>257</v>
      </c>
      <c r="J2" s="13"/>
      <c r="K2" s="13">
        <v>87500</v>
      </c>
      <c r="L2" s="13">
        <v>87500</v>
      </c>
      <c r="M2" s="13">
        <f t="shared" ref="M2" si="0">K2-L2</f>
        <v>0</v>
      </c>
      <c r="N2" s="13" t="s">
        <v>90</v>
      </c>
      <c r="O2" s="16" t="s">
        <v>29</v>
      </c>
      <c r="P2" s="13"/>
      <c r="Q2" s="13"/>
      <c r="R2" s="13"/>
      <c r="S2" s="13"/>
      <c r="T2" s="13"/>
      <c r="U2" s="13"/>
      <c r="V2" s="13" t="s">
        <v>30</v>
      </c>
      <c r="W2" s="1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</row>
    <row r="3" spans="1:16383" x14ac:dyDescent="0.35">
      <c r="A3" s="18" t="s">
        <v>21</v>
      </c>
      <c r="B3" s="18" t="s">
        <v>22</v>
      </c>
      <c r="C3" s="16" t="s">
        <v>430</v>
      </c>
      <c r="D3" s="18" t="s">
        <v>23</v>
      </c>
      <c r="E3" s="9" t="s">
        <v>24</v>
      </c>
      <c r="F3" s="9"/>
      <c r="G3" s="26" t="s">
        <v>25</v>
      </c>
      <c r="H3" s="25" t="s">
        <v>26</v>
      </c>
      <c r="I3" s="25" t="s">
        <v>27</v>
      </c>
      <c r="J3" s="15"/>
      <c r="K3" s="8">
        <v>40800</v>
      </c>
      <c r="L3" s="13">
        <v>40800</v>
      </c>
      <c r="M3" s="13">
        <f t="shared" ref="M3:M32" si="1">K3-L3</f>
        <v>0</v>
      </c>
      <c r="N3" s="8" t="s">
        <v>28</v>
      </c>
      <c r="O3" s="18" t="s">
        <v>29</v>
      </c>
      <c r="P3" s="8">
        <v>1</v>
      </c>
      <c r="Q3" s="8">
        <v>22</v>
      </c>
      <c r="R3" s="8">
        <v>0</v>
      </c>
      <c r="S3" s="8">
        <v>0</v>
      </c>
      <c r="T3" s="8"/>
      <c r="U3" s="8"/>
      <c r="V3" s="8" t="s">
        <v>30</v>
      </c>
      <c r="W3" s="8"/>
    </row>
    <row r="4" spans="1:16383" x14ac:dyDescent="0.35">
      <c r="A4" s="18" t="s">
        <v>21</v>
      </c>
      <c r="B4" s="18" t="s">
        <v>31</v>
      </c>
      <c r="C4" s="16" t="s">
        <v>431</v>
      </c>
      <c r="D4" s="18" t="s">
        <v>32</v>
      </c>
      <c r="E4" s="9" t="s">
        <v>33</v>
      </c>
      <c r="F4" s="9"/>
      <c r="G4" s="26" t="s">
        <v>25</v>
      </c>
      <c r="H4" s="25" t="s">
        <v>26</v>
      </c>
      <c r="I4" s="25" t="s">
        <v>27</v>
      </c>
      <c r="J4" s="15"/>
      <c r="K4" s="8">
        <v>45154</v>
      </c>
      <c r="L4" s="13">
        <v>45154</v>
      </c>
      <c r="M4" s="13">
        <f t="shared" si="1"/>
        <v>0</v>
      </c>
      <c r="N4" s="8" t="s">
        <v>28</v>
      </c>
      <c r="O4" s="18" t="s">
        <v>29</v>
      </c>
      <c r="P4" s="8">
        <v>1</v>
      </c>
      <c r="Q4" s="8">
        <v>22</v>
      </c>
      <c r="R4" s="8">
        <v>0</v>
      </c>
      <c r="S4" s="8">
        <v>0</v>
      </c>
      <c r="T4" s="8"/>
      <c r="U4" s="8"/>
      <c r="V4" s="8" t="s">
        <v>30</v>
      </c>
      <c r="W4" s="8"/>
    </row>
    <row r="5" spans="1:16383" x14ac:dyDescent="0.35">
      <c r="A5" s="18" t="s">
        <v>21</v>
      </c>
      <c r="B5" s="18" t="s">
        <v>34</v>
      </c>
      <c r="C5" s="16" t="s">
        <v>432</v>
      </c>
      <c r="D5" s="18" t="s">
        <v>23</v>
      </c>
      <c r="E5" s="9" t="s">
        <v>35</v>
      </c>
      <c r="F5" s="9"/>
      <c r="G5" s="26" t="s">
        <v>25</v>
      </c>
      <c r="H5" s="25" t="s">
        <v>26</v>
      </c>
      <c r="I5" s="25" t="s">
        <v>27</v>
      </c>
      <c r="J5" s="15"/>
      <c r="K5" s="8">
        <v>43870</v>
      </c>
      <c r="L5" s="13">
        <v>43870</v>
      </c>
      <c r="M5" s="13">
        <f t="shared" si="1"/>
        <v>0</v>
      </c>
      <c r="N5" s="8" t="s">
        <v>28</v>
      </c>
      <c r="O5" s="18" t="s">
        <v>29</v>
      </c>
      <c r="P5" s="8">
        <v>1</v>
      </c>
      <c r="Q5" s="8">
        <v>22</v>
      </c>
      <c r="R5" s="8">
        <v>0</v>
      </c>
      <c r="S5" s="8">
        <v>0</v>
      </c>
      <c r="T5" s="8"/>
      <c r="U5" s="8"/>
      <c r="V5" s="8" t="s">
        <v>30</v>
      </c>
      <c r="W5" s="8"/>
    </row>
    <row r="6" spans="1:16383" x14ac:dyDescent="0.35">
      <c r="A6" s="18" t="s">
        <v>21</v>
      </c>
      <c r="B6" s="18" t="s">
        <v>36</v>
      </c>
      <c r="C6" s="16" t="s">
        <v>433</v>
      </c>
      <c r="D6" s="18" t="s">
        <v>23</v>
      </c>
      <c r="E6" s="9" t="s">
        <v>37</v>
      </c>
      <c r="F6" s="9"/>
      <c r="G6" s="26" t="s">
        <v>25</v>
      </c>
      <c r="H6" s="25" t="s">
        <v>26</v>
      </c>
      <c r="I6" s="25" t="s">
        <v>27</v>
      </c>
      <c r="J6" s="15"/>
      <c r="K6" s="8">
        <v>45150</v>
      </c>
      <c r="L6" s="13">
        <v>45150</v>
      </c>
      <c r="M6" s="13">
        <f t="shared" si="1"/>
        <v>0</v>
      </c>
      <c r="N6" s="8" t="s">
        <v>28</v>
      </c>
      <c r="O6" s="18" t="s">
        <v>29</v>
      </c>
      <c r="P6" s="8">
        <v>1</v>
      </c>
      <c r="Q6" s="8">
        <v>22</v>
      </c>
      <c r="R6" s="8">
        <v>0</v>
      </c>
      <c r="S6" s="8">
        <v>0</v>
      </c>
      <c r="T6" s="8"/>
      <c r="U6" s="8"/>
      <c r="V6" s="8" t="s">
        <v>30</v>
      </c>
      <c r="W6" s="8"/>
    </row>
    <row r="7" spans="1:16383" x14ac:dyDescent="0.35">
      <c r="A7" s="18" t="s">
        <v>21</v>
      </c>
      <c r="B7" s="18" t="s">
        <v>38</v>
      </c>
      <c r="C7" s="16" t="s">
        <v>434</v>
      </c>
      <c r="D7" s="18" t="s">
        <v>32</v>
      </c>
      <c r="E7" s="9" t="s">
        <v>39</v>
      </c>
      <c r="F7" s="9"/>
      <c r="G7" s="26" t="s">
        <v>25</v>
      </c>
      <c r="H7" s="25" t="s">
        <v>26</v>
      </c>
      <c r="I7" s="25" t="s">
        <v>27</v>
      </c>
      <c r="J7" s="15"/>
      <c r="K7" s="8">
        <v>44993</v>
      </c>
      <c r="L7" s="13">
        <v>44993</v>
      </c>
      <c r="M7" s="13">
        <f t="shared" si="1"/>
        <v>0</v>
      </c>
      <c r="N7" s="8" t="s">
        <v>28</v>
      </c>
      <c r="O7" s="18" t="s">
        <v>29</v>
      </c>
      <c r="P7" s="8">
        <v>1</v>
      </c>
      <c r="Q7" s="8">
        <v>22</v>
      </c>
      <c r="R7" s="8">
        <v>0</v>
      </c>
      <c r="S7" s="8">
        <v>0</v>
      </c>
      <c r="T7" s="8"/>
      <c r="U7" s="8"/>
      <c r="V7" s="8" t="s">
        <v>30</v>
      </c>
      <c r="W7" s="8"/>
    </row>
    <row r="8" spans="1:16383" x14ac:dyDescent="0.35">
      <c r="A8" s="18" t="s">
        <v>21</v>
      </c>
      <c r="B8" s="18" t="s">
        <v>40</v>
      </c>
      <c r="C8" s="16" t="s">
        <v>435</v>
      </c>
      <c r="D8" s="18" t="s">
        <v>23</v>
      </c>
      <c r="E8" s="9" t="s">
        <v>41</v>
      </c>
      <c r="F8" s="9"/>
      <c r="G8" s="26" t="s">
        <v>25</v>
      </c>
      <c r="H8" s="25" t="s">
        <v>26</v>
      </c>
      <c r="I8" s="25" t="s">
        <v>27</v>
      </c>
      <c r="J8" s="15"/>
      <c r="K8" s="8">
        <v>42848</v>
      </c>
      <c r="L8" s="13">
        <v>42848</v>
      </c>
      <c r="M8" s="13">
        <f t="shared" si="1"/>
        <v>0</v>
      </c>
      <c r="N8" s="8" t="s">
        <v>28</v>
      </c>
      <c r="O8" s="18" t="s">
        <v>29</v>
      </c>
      <c r="P8" s="8">
        <v>1</v>
      </c>
      <c r="Q8" s="8">
        <v>22</v>
      </c>
      <c r="R8" s="8">
        <v>0</v>
      </c>
      <c r="S8" s="8">
        <v>0</v>
      </c>
      <c r="T8" s="8"/>
      <c r="U8" s="8"/>
      <c r="V8" s="8" t="s">
        <v>30</v>
      </c>
      <c r="W8" s="8"/>
    </row>
    <row r="9" spans="1:16383" x14ac:dyDescent="0.35">
      <c r="A9" s="18" t="s">
        <v>21</v>
      </c>
      <c r="B9" s="18" t="s">
        <v>42</v>
      </c>
      <c r="C9" s="16" t="s">
        <v>436</v>
      </c>
      <c r="D9" s="18" t="s">
        <v>23</v>
      </c>
      <c r="E9" s="9" t="s">
        <v>43</v>
      </c>
      <c r="F9" s="9"/>
      <c r="G9" s="26" t="s">
        <v>25</v>
      </c>
      <c r="H9" s="25" t="s">
        <v>26</v>
      </c>
      <c r="I9" s="25" t="s">
        <v>27</v>
      </c>
      <c r="J9" s="15"/>
      <c r="K9" s="8">
        <v>39000</v>
      </c>
      <c r="L9" s="13">
        <v>39000</v>
      </c>
      <c r="M9" s="13">
        <f t="shared" si="1"/>
        <v>0</v>
      </c>
      <c r="N9" s="8" t="s">
        <v>28</v>
      </c>
      <c r="O9" s="18" t="s">
        <v>29</v>
      </c>
      <c r="P9" s="8">
        <v>1</v>
      </c>
      <c r="Q9" s="8">
        <v>22</v>
      </c>
      <c r="R9" s="8">
        <v>0</v>
      </c>
      <c r="S9" s="8">
        <v>0</v>
      </c>
      <c r="T9" s="8"/>
      <c r="U9" s="8"/>
      <c r="V9" s="8" t="s">
        <v>30</v>
      </c>
      <c r="W9" s="8"/>
    </row>
    <row r="10" spans="1:16383" x14ac:dyDescent="0.35">
      <c r="A10" s="18" t="s">
        <v>21</v>
      </c>
      <c r="B10" s="18" t="s">
        <v>44</v>
      </c>
      <c r="C10" s="16" t="s">
        <v>437</v>
      </c>
      <c r="D10" s="18" t="s">
        <v>23</v>
      </c>
      <c r="E10" s="9" t="s">
        <v>45</v>
      </c>
      <c r="F10" s="9"/>
      <c r="G10" s="26" t="s">
        <v>25</v>
      </c>
      <c r="H10" s="25" t="s">
        <v>26</v>
      </c>
      <c r="I10" s="25" t="s">
        <v>27</v>
      </c>
      <c r="J10" s="15"/>
      <c r="K10" s="8">
        <v>40660</v>
      </c>
      <c r="L10" s="13">
        <v>40660</v>
      </c>
      <c r="M10" s="13">
        <f t="shared" si="1"/>
        <v>0</v>
      </c>
      <c r="N10" s="8" t="s">
        <v>28</v>
      </c>
      <c r="O10" s="18" t="s">
        <v>29</v>
      </c>
      <c r="P10" s="8">
        <v>1</v>
      </c>
      <c r="Q10" s="8">
        <v>22</v>
      </c>
      <c r="R10" s="8">
        <v>0</v>
      </c>
      <c r="S10" s="8">
        <v>0</v>
      </c>
      <c r="T10" s="8"/>
      <c r="U10" s="8"/>
      <c r="V10" s="8" t="s">
        <v>30</v>
      </c>
      <c r="W10" s="8"/>
    </row>
    <row r="11" spans="1:16383" x14ac:dyDescent="0.35">
      <c r="A11" s="18" t="s">
        <v>21</v>
      </c>
      <c r="B11" s="18" t="s">
        <v>46</v>
      </c>
      <c r="C11" s="16" t="s">
        <v>438</v>
      </c>
      <c r="D11" s="18" t="s">
        <v>23</v>
      </c>
      <c r="E11" s="9" t="s">
        <v>47</v>
      </c>
      <c r="F11" s="9"/>
      <c r="G11" s="26" t="s">
        <v>25</v>
      </c>
      <c r="H11" s="25" t="s">
        <v>26</v>
      </c>
      <c r="I11" s="25" t="s">
        <v>27</v>
      </c>
      <c r="J11" s="15"/>
      <c r="K11" s="8">
        <v>35700</v>
      </c>
      <c r="L11" s="13">
        <v>35700</v>
      </c>
      <c r="M11" s="13">
        <f t="shared" si="1"/>
        <v>0</v>
      </c>
      <c r="N11" s="8" t="s">
        <v>28</v>
      </c>
      <c r="O11" s="18" t="s">
        <v>29</v>
      </c>
      <c r="P11" s="8">
        <v>1</v>
      </c>
      <c r="Q11" s="8">
        <v>22</v>
      </c>
      <c r="R11" s="8">
        <v>0</v>
      </c>
      <c r="S11" s="8">
        <v>0</v>
      </c>
      <c r="T11" s="8"/>
      <c r="U11" s="8"/>
      <c r="V11" s="8" t="s">
        <v>30</v>
      </c>
      <c r="W11" s="8"/>
    </row>
    <row r="12" spans="1:16383" x14ac:dyDescent="0.35">
      <c r="A12" s="18" t="s">
        <v>21</v>
      </c>
      <c r="B12" s="18" t="s">
        <v>48</v>
      </c>
      <c r="C12" s="16" t="s">
        <v>439</v>
      </c>
      <c r="D12" s="18" t="s">
        <v>23</v>
      </c>
      <c r="E12" s="9" t="s">
        <v>49</v>
      </c>
      <c r="F12" s="9"/>
      <c r="G12" s="26" t="s">
        <v>25</v>
      </c>
      <c r="H12" s="25" t="s">
        <v>26</v>
      </c>
      <c r="I12" s="25" t="s">
        <v>27</v>
      </c>
      <c r="J12" s="15"/>
      <c r="K12" s="8">
        <v>41798</v>
      </c>
      <c r="L12" s="13">
        <v>41798</v>
      </c>
      <c r="M12" s="13">
        <f t="shared" si="1"/>
        <v>0</v>
      </c>
      <c r="N12" s="8" t="s">
        <v>28</v>
      </c>
      <c r="O12" s="18" t="s">
        <v>29</v>
      </c>
      <c r="P12" s="8">
        <v>1</v>
      </c>
      <c r="Q12" s="8">
        <v>22</v>
      </c>
      <c r="R12" s="8">
        <v>0</v>
      </c>
      <c r="S12" s="8">
        <v>0</v>
      </c>
      <c r="T12" s="8"/>
      <c r="U12" s="8"/>
      <c r="V12" s="8" t="s">
        <v>30</v>
      </c>
      <c r="W12" s="8"/>
    </row>
    <row r="13" spans="1:16383" x14ac:dyDescent="0.35">
      <c r="A13" s="18" t="s">
        <v>21</v>
      </c>
      <c r="B13" s="18" t="s">
        <v>50</v>
      </c>
      <c r="C13" s="16" t="s">
        <v>440</v>
      </c>
      <c r="D13" s="18" t="s">
        <v>23</v>
      </c>
      <c r="E13" s="9" t="s">
        <v>51</v>
      </c>
      <c r="F13" s="9"/>
      <c r="G13" s="26" t="s">
        <v>25</v>
      </c>
      <c r="H13" s="25" t="s">
        <v>26</v>
      </c>
      <c r="I13" s="25" t="s">
        <v>27</v>
      </c>
      <c r="J13" s="15"/>
      <c r="K13" s="8">
        <v>36800</v>
      </c>
      <c r="L13" s="13">
        <v>36800</v>
      </c>
      <c r="M13" s="13">
        <f t="shared" si="1"/>
        <v>0</v>
      </c>
      <c r="N13" s="8" t="s">
        <v>28</v>
      </c>
      <c r="O13" s="18" t="s">
        <v>29</v>
      </c>
      <c r="P13" s="8">
        <v>1</v>
      </c>
      <c r="Q13" s="8">
        <v>22</v>
      </c>
      <c r="R13" s="8">
        <v>0</v>
      </c>
      <c r="S13" s="8">
        <v>0</v>
      </c>
      <c r="T13" s="8"/>
      <c r="U13" s="8"/>
      <c r="V13" s="8" t="s">
        <v>30</v>
      </c>
      <c r="W13" s="8"/>
    </row>
    <row r="14" spans="1:16383" x14ac:dyDescent="0.35">
      <c r="A14" s="18" t="s">
        <v>21</v>
      </c>
      <c r="B14" s="18" t="s">
        <v>52</v>
      </c>
      <c r="C14" s="14" t="s">
        <v>422</v>
      </c>
      <c r="D14" s="18" t="s">
        <v>23</v>
      </c>
      <c r="E14" s="9" t="s">
        <v>53</v>
      </c>
      <c r="F14" s="9"/>
      <c r="G14" s="26" t="s">
        <v>25</v>
      </c>
      <c r="H14" s="25" t="s">
        <v>26</v>
      </c>
      <c r="I14" s="25" t="s">
        <v>27</v>
      </c>
      <c r="J14" s="15"/>
      <c r="K14" s="8">
        <v>30000</v>
      </c>
      <c r="L14" s="13"/>
      <c r="M14" s="13">
        <f t="shared" si="1"/>
        <v>30000</v>
      </c>
      <c r="N14" s="8" t="s">
        <v>28</v>
      </c>
      <c r="O14" s="18" t="s">
        <v>29</v>
      </c>
      <c r="P14" s="8">
        <v>1</v>
      </c>
      <c r="Q14" s="8">
        <v>22</v>
      </c>
      <c r="R14" s="8">
        <v>0</v>
      </c>
      <c r="S14" s="8">
        <v>0</v>
      </c>
      <c r="T14" s="8"/>
      <c r="U14" s="8"/>
      <c r="V14" s="8" t="s">
        <v>30</v>
      </c>
      <c r="W14" s="8"/>
    </row>
    <row r="15" spans="1:16383" x14ac:dyDescent="0.35">
      <c r="A15" s="18" t="s">
        <v>21</v>
      </c>
      <c r="B15" s="18" t="s">
        <v>54</v>
      </c>
      <c r="C15" s="16" t="s">
        <v>441</v>
      </c>
      <c r="D15" s="18" t="s">
        <v>23</v>
      </c>
      <c r="E15" s="9" t="s">
        <v>55</v>
      </c>
      <c r="F15" s="9"/>
      <c r="G15" s="26" t="s">
        <v>25</v>
      </c>
      <c r="H15" s="25" t="s">
        <v>26</v>
      </c>
      <c r="I15" s="25" t="s">
        <v>27</v>
      </c>
      <c r="J15" s="15"/>
      <c r="K15" s="8">
        <v>49522</v>
      </c>
      <c r="L15" s="13">
        <v>49522</v>
      </c>
      <c r="M15" s="13">
        <f t="shared" si="1"/>
        <v>0</v>
      </c>
      <c r="N15" s="8" t="s">
        <v>28</v>
      </c>
      <c r="O15" s="18" t="s">
        <v>29</v>
      </c>
      <c r="P15" s="8">
        <v>1</v>
      </c>
      <c r="Q15" s="8">
        <v>22</v>
      </c>
      <c r="R15" s="8">
        <v>0</v>
      </c>
      <c r="S15" s="8">
        <v>0</v>
      </c>
      <c r="T15" s="8"/>
      <c r="U15" s="8"/>
      <c r="V15" s="8" t="s">
        <v>30</v>
      </c>
      <c r="W15" s="8"/>
    </row>
    <row r="16" spans="1:16383" x14ac:dyDescent="0.35">
      <c r="A16" s="18" t="s">
        <v>21</v>
      </c>
      <c r="B16" s="18" t="s">
        <v>56</v>
      </c>
      <c r="C16" s="16" t="s">
        <v>442</v>
      </c>
      <c r="D16" s="18" t="s">
        <v>23</v>
      </c>
      <c r="E16" s="9" t="s">
        <v>57</v>
      </c>
      <c r="F16" s="9"/>
      <c r="G16" s="26" t="s">
        <v>25</v>
      </c>
      <c r="H16" s="25" t="s">
        <v>26</v>
      </c>
      <c r="I16" s="25" t="s">
        <v>27</v>
      </c>
      <c r="J16" s="15"/>
      <c r="K16" s="8">
        <v>37985</v>
      </c>
      <c r="L16" s="13">
        <v>37985</v>
      </c>
      <c r="M16" s="13">
        <f t="shared" si="1"/>
        <v>0</v>
      </c>
      <c r="N16" s="8" t="s">
        <v>28</v>
      </c>
      <c r="O16" s="18" t="s">
        <v>29</v>
      </c>
      <c r="P16" s="8">
        <v>1</v>
      </c>
      <c r="Q16" s="8">
        <v>22</v>
      </c>
      <c r="R16" s="8">
        <v>0</v>
      </c>
      <c r="S16" s="8">
        <v>0</v>
      </c>
      <c r="T16" s="8"/>
      <c r="U16" s="8"/>
      <c r="V16" s="8" t="s">
        <v>30</v>
      </c>
      <c r="W16" s="8"/>
    </row>
    <row r="17" spans="1:23" x14ac:dyDescent="0.35">
      <c r="A17" s="18" t="s">
        <v>21</v>
      </c>
      <c r="B17" s="18" t="s">
        <v>58</v>
      </c>
      <c r="C17" s="16" t="s">
        <v>443</v>
      </c>
      <c r="D17" s="18" t="s">
        <v>23</v>
      </c>
      <c r="E17" s="9" t="s">
        <v>59</v>
      </c>
      <c r="F17" s="9"/>
      <c r="G17" s="26" t="s">
        <v>25</v>
      </c>
      <c r="H17" s="25" t="s">
        <v>26</v>
      </c>
      <c r="I17" s="25" t="s">
        <v>27</v>
      </c>
      <c r="J17" s="15"/>
      <c r="K17" s="8">
        <v>33800</v>
      </c>
      <c r="L17" s="13">
        <v>33800</v>
      </c>
      <c r="M17" s="13">
        <f t="shared" si="1"/>
        <v>0</v>
      </c>
      <c r="N17" s="8" t="s">
        <v>28</v>
      </c>
      <c r="O17" s="18" t="s">
        <v>29</v>
      </c>
      <c r="P17" s="8">
        <v>1</v>
      </c>
      <c r="Q17" s="8">
        <v>22</v>
      </c>
      <c r="R17" s="8">
        <v>0</v>
      </c>
      <c r="S17" s="8">
        <v>0</v>
      </c>
      <c r="T17" s="8"/>
      <c r="U17" s="8"/>
      <c r="V17" s="8" t="s">
        <v>30</v>
      </c>
      <c r="W17" s="8"/>
    </row>
    <row r="18" spans="1:23" x14ac:dyDescent="0.35">
      <c r="A18" s="18" t="s">
        <v>21</v>
      </c>
      <c r="B18" s="18" t="s">
        <v>60</v>
      </c>
      <c r="C18" s="16" t="s">
        <v>444</v>
      </c>
      <c r="D18" s="18" t="s">
        <v>23</v>
      </c>
      <c r="E18" s="9" t="s">
        <v>61</v>
      </c>
      <c r="F18" s="9">
        <v>46066</v>
      </c>
      <c r="G18" s="26" t="s">
        <v>588</v>
      </c>
      <c r="H18" s="25" t="s">
        <v>26</v>
      </c>
      <c r="I18" s="25" t="s">
        <v>27</v>
      </c>
      <c r="J18" s="15"/>
      <c r="K18" s="8">
        <v>36400</v>
      </c>
      <c r="L18" s="13">
        <v>36400</v>
      </c>
      <c r="M18" s="13">
        <f t="shared" si="1"/>
        <v>0</v>
      </c>
      <c r="N18" s="8" t="s">
        <v>28</v>
      </c>
      <c r="O18" s="18" t="s">
        <v>29</v>
      </c>
      <c r="P18" s="8">
        <v>1</v>
      </c>
      <c r="Q18" s="8">
        <v>17</v>
      </c>
      <c r="R18" s="8">
        <v>0</v>
      </c>
      <c r="S18" s="8">
        <v>0</v>
      </c>
      <c r="T18" s="8"/>
      <c r="U18" s="8"/>
      <c r="V18" s="8" t="s">
        <v>30</v>
      </c>
      <c r="W18" s="8" t="s">
        <v>605</v>
      </c>
    </row>
    <row r="19" spans="1:23" x14ac:dyDescent="0.35">
      <c r="A19" s="18" t="s">
        <v>21</v>
      </c>
      <c r="B19" s="18" t="s">
        <v>62</v>
      </c>
      <c r="C19" s="16" t="s">
        <v>445</v>
      </c>
      <c r="D19" s="18" t="s">
        <v>23</v>
      </c>
      <c r="E19" s="9" t="s">
        <v>63</v>
      </c>
      <c r="F19" s="9"/>
      <c r="G19" s="26" t="s">
        <v>25</v>
      </c>
      <c r="H19" s="25" t="s">
        <v>26</v>
      </c>
      <c r="I19" s="25" t="s">
        <v>27</v>
      </c>
      <c r="J19" s="15"/>
      <c r="K19" s="8">
        <v>39698</v>
      </c>
      <c r="L19" s="13">
        <v>39698</v>
      </c>
      <c r="M19" s="13">
        <f t="shared" si="1"/>
        <v>0</v>
      </c>
      <c r="N19" s="8" t="s">
        <v>28</v>
      </c>
      <c r="O19" s="18" t="s">
        <v>29</v>
      </c>
      <c r="P19" s="8">
        <v>1</v>
      </c>
      <c r="Q19" s="8">
        <v>22</v>
      </c>
      <c r="R19" s="8">
        <v>0</v>
      </c>
      <c r="S19" s="8">
        <v>0</v>
      </c>
      <c r="T19" s="8"/>
      <c r="U19" s="8"/>
      <c r="V19" s="8" t="s">
        <v>30</v>
      </c>
      <c r="W19" s="8"/>
    </row>
    <row r="20" spans="1:23" x14ac:dyDescent="0.35">
      <c r="A20" s="18" t="s">
        <v>21</v>
      </c>
      <c r="B20" s="18" t="s">
        <v>64</v>
      </c>
      <c r="C20" s="16" t="s">
        <v>446</v>
      </c>
      <c r="D20" s="18" t="s">
        <v>23</v>
      </c>
      <c r="E20" s="9" t="s">
        <v>57</v>
      </c>
      <c r="F20" s="9"/>
      <c r="G20" s="26" t="s">
        <v>25</v>
      </c>
      <c r="H20" s="25" t="s">
        <v>26</v>
      </c>
      <c r="I20" s="25" t="s">
        <v>27</v>
      </c>
      <c r="J20" s="15"/>
      <c r="K20" s="8">
        <v>37985</v>
      </c>
      <c r="L20" s="13">
        <v>37985</v>
      </c>
      <c r="M20" s="13">
        <f t="shared" si="1"/>
        <v>0</v>
      </c>
      <c r="N20" s="8" t="s">
        <v>28</v>
      </c>
      <c r="O20" s="18" t="s">
        <v>29</v>
      </c>
      <c r="P20" s="8">
        <v>1</v>
      </c>
      <c r="Q20" s="8">
        <v>22</v>
      </c>
      <c r="R20" s="8">
        <v>0</v>
      </c>
      <c r="S20" s="8">
        <v>0</v>
      </c>
      <c r="T20" s="8"/>
      <c r="U20" s="8"/>
      <c r="V20" s="8" t="s">
        <v>30</v>
      </c>
      <c r="W20" s="8"/>
    </row>
    <row r="21" spans="1:23" x14ac:dyDescent="0.35">
      <c r="A21" s="18" t="s">
        <v>21</v>
      </c>
      <c r="B21" s="18" t="s">
        <v>65</v>
      </c>
      <c r="C21" s="16" t="s">
        <v>447</v>
      </c>
      <c r="D21" s="18" t="s">
        <v>23</v>
      </c>
      <c r="E21" s="9" t="s">
        <v>66</v>
      </c>
      <c r="F21" s="9"/>
      <c r="G21" s="26" t="s">
        <v>25</v>
      </c>
      <c r="H21" s="25" t="s">
        <v>26</v>
      </c>
      <c r="I21" s="25" t="s">
        <v>27</v>
      </c>
      <c r="J21" s="15"/>
      <c r="K21" s="8">
        <v>40748</v>
      </c>
      <c r="L21" s="13">
        <v>40748</v>
      </c>
      <c r="M21" s="13">
        <f t="shared" si="1"/>
        <v>0</v>
      </c>
      <c r="N21" s="8" t="s">
        <v>28</v>
      </c>
      <c r="O21" s="18" t="s">
        <v>29</v>
      </c>
      <c r="P21" s="8">
        <v>1</v>
      </c>
      <c r="Q21" s="8">
        <v>22</v>
      </c>
      <c r="R21" s="8">
        <v>0</v>
      </c>
      <c r="S21" s="8">
        <v>0</v>
      </c>
      <c r="T21" s="8"/>
      <c r="U21" s="8"/>
      <c r="V21" s="8" t="s">
        <v>30</v>
      </c>
      <c r="W21" s="8"/>
    </row>
    <row r="22" spans="1:23" x14ac:dyDescent="0.35">
      <c r="A22" s="18" t="s">
        <v>21</v>
      </c>
      <c r="B22" s="18" t="s">
        <v>67</v>
      </c>
      <c r="C22" s="14" t="s">
        <v>426</v>
      </c>
      <c r="D22" s="18" t="s">
        <v>23</v>
      </c>
      <c r="E22" s="9" t="s">
        <v>68</v>
      </c>
      <c r="F22" s="9"/>
      <c r="G22" s="26" t="s">
        <v>25</v>
      </c>
      <c r="H22" s="25" t="s">
        <v>26</v>
      </c>
      <c r="I22" s="25" t="s">
        <v>27</v>
      </c>
      <c r="J22" s="15"/>
      <c r="K22" s="8">
        <v>34570</v>
      </c>
      <c r="L22" s="8">
        <v>34570</v>
      </c>
      <c r="M22" s="13">
        <f t="shared" si="1"/>
        <v>0</v>
      </c>
      <c r="N22" s="8" t="s">
        <v>28</v>
      </c>
      <c r="O22" s="18" t="s">
        <v>29</v>
      </c>
      <c r="P22" s="8">
        <v>1</v>
      </c>
      <c r="Q22" s="8">
        <v>22</v>
      </c>
      <c r="R22" s="8">
        <v>0</v>
      </c>
      <c r="S22" s="8">
        <v>0</v>
      </c>
      <c r="T22" s="8"/>
      <c r="U22" s="8"/>
      <c r="V22" s="8" t="s">
        <v>30</v>
      </c>
      <c r="W22" s="8"/>
    </row>
    <row r="23" spans="1:23" x14ac:dyDescent="0.35">
      <c r="A23" s="18" t="s">
        <v>21</v>
      </c>
      <c r="B23" s="18" t="s">
        <v>69</v>
      </c>
      <c r="C23" s="16" t="s">
        <v>448</v>
      </c>
      <c r="D23" s="18" t="s">
        <v>23</v>
      </c>
      <c r="E23" s="9" t="s">
        <v>70</v>
      </c>
      <c r="F23" s="9"/>
      <c r="G23" s="26" t="s">
        <v>25</v>
      </c>
      <c r="H23" s="25" t="s">
        <v>26</v>
      </c>
      <c r="I23" s="25" t="s">
        <v>27</v>
      </c>
      <c r="J23" s="15"/>
      <c r="K23" s="8">
        <v>41800</v>
      </c>
      <c r="L23" s="13">
        <v>41800</v>
      </c>
      <c r="M23" s="13">
        <f t="shared" si="1"/>
        <v>0</v>
      </c>
      <c r="N23" s="8" t="s">
        <v>28</v>
      </c>
      <c r="O23" s="18" t="s">
        <v>29</v>
      </c>
      <c r="P23" s="8">
        <v>1</v>
      </c>
      <c r="Q23" s="8">
        <v>22</v>
      </c>
      <c r="R23" s="8">
        <v>0</v>
      </c>
      <c r="S23" s="8">
        <v>0</v>
      </c>
      <c r="T23" s="8"/>
      <c r="U23" s="8"/>
      <c r="V23" s="8" t="s">
        <v>30</v>
      </c>
      <c r="W23" s="8"/>
    </row>
    <row r="24" spans="1:23" x14ac:dyDescent="0.35">
      <c r="A24" s="18" t="s">
        <v>21</v>
      </c>
      <c r="B24" s="18" t="s">
        <v>71</v>
      </c>
      <c r="C24" s="16" t="s">
        <v>449</v>
      </c>
      <c r="D24" s="18" t="s">
        <v>23</v>
      </c>
      <c r="E24" s="9" t="s">
        <v>72</v>
      </c>
      <c r="F24" s="9"/>
      <c r="G24" s="26" t="s">
        <v>25</v>
      </c>
      <c r="H24" s="25" t="s">
        <v>26</v>
      </c>
      <c r="I24" s="25" t="s">
        <v>27</v>
      </c>
      <c r="J24" s="15"/>
      <c r="K24" s="8">
        <v>38762</v>
      </c>
      <c r="L24" s="13">
        <v>38762</v>
      </c>
      <c r="M24" s="13">
        <f t="shared" si="1"/>
        <v>0</v>
      </c>
      <c r="N24" s="8" t="s">
        <v>28</v>
      </c>
      <c r="O24" s="18" t="s">
        <v>29</v>
      </c>
      <c r="P24" s="8">
        <v>1</v>
      </c>
      <c r="Q24" s="8">
        <v>22</v>
      </c>
      <c r="R24" s="8">
        <v>0</v>
      </c>
      <c r="S24" s="8">
        <v>0</v>
      </c>
      <c r="T24" s="8"/>
      <c r="U24" s="8"/>
      <c r="V24" s="8" t="s">
        <v>30</v>
      </c>
      <c r="W24" s="8"/>
    </row>
    <row r="25" spans="1:23" x14ac:dyDescent="0.35">
      <c r="A25" s="18" t="s">
        <v>21</v>
      </c>
      <c r="B25" s="18" t="s">
        <v>73</v>
      </c>
      <c r="C25" s="16" t="s">
        <v>450</v>
      </c>
      <c r="D25" s="18" t="s">
        <v>23</v>
      </c>
      <c r="E25" s="9" t="s">
        <v>74</v>
      </c>
      <c r="F25" s="9"/>
      <c r="G25" s="26" t="s">
        <v>25</v>
      </c>
      <c r="H25" s="25" t="s">
        <v>26</v>
      </c>
      <c r="I25" s="25" t="s">
        <v>27</v>
      </c>
      <c r="J25" s="15"/>
      <c r="K25" s="8">
        <v>32570</v>
      </c>
      <c r="L25" s="13">
        <v>32570</v>
      </c>
      <c r="M25" s="13">
        <f t="shared" si="1"/>
        <v>0</v>
      </c>
      <c r="N25" s="8" t="s">
        <v>28</v>
      </c>
      <c r="O25" s="18" t="s">
        <v>29</v>
      </c>
      <c r="P25" s="8">
        <v>1</v>
      </c>
      <c r="Q25" s="8">
        <v>22</v>
      </c>
      <c r="R25" s="8">
        <v>0</v>
      </c>
      <c r="S25" s="8">
        <v>0</v>
      </c>
      <c r="T25" s="8"/>
      <c r="U25" s="8"/>
      <c r="V25" s="8" t="s">
        <v>30</v>
      </c>
      <c r="W25" s="8"/>
    </row>
    <row r="26" spans="1:23" x14ac:dyDescent="0.35">
      <c r="A26" s="18" t="s">
        <v>21</v>
      </c>
      <c r="B26" s="18" t="s">
        <v>75</v>
      </c>
      <c r="C26" s="16" t="s">
        <v>451</v>
      </c>
      <c r="D26" s="18" t="s">
        <v>23</v>
      </c>
      <c r="E26" s="9" t="s">
        <v>76</v>
      </c>
      <c r="F26" s="9"/>
      <c r="G26" s="26" t="s">
        <v>25</v>
      </c>
      <c r="H26" s="25" t="s">
        <v>26</v>
      </c>
      <c r="I26" s="25" t="s">
        <v>27</v>
      </c>
      <c r="J26" s="15"/>
      <c r="K26" s="8">
        <v>41667</v>
      </c>
      <c r="L26" s="13">
        <v>41667</v>
      </c>
      <c r="M26" s="13">
        <f t="shared" si="1"/>
        <v>0</v>
      </c>
      <c r="N26" s="8" t="s">
        <v>28</v>
      </c>
      <c r="O26" s="18" t="s">
        <v>29</v>
      </c>
      <c r="P26" s="8">
        <v>1</v>
      </c>
      <c r="Q26" s="8">
        <v>22</v>
      </c>
      <c r="R26" s="8">
        <v>0</v>
      </c>
      <c r="S26" s="8">
        <v>0</v>
      </c>
      <c r="T26" s="8"/>
      <c r="U26" s="8"/>
      <c r="V26" s="8" t="s">
        <v>30</v>
      </c>
      <c r="W26" s="8"/>
    </row>
    <row r="27" spans="1:23" x14ac:dyDescent="0.35">
      <c r="A27" s="18" t="s">
        <v>21</v>
      </c>
      <c r="B27" s="18" t="s">
        <v>77</v>
      </c>
      <c r="C27" s="16" t="s">
        <v>452</v>
      </c>
      <c r="D27" s="18" t="s">
        <v>23</v>
      </c>
      <c r="E27" s="9" t="s">
        <v>78</v>
      </c>
      <c r="F27" s="9"/>
      <c r="G27" s="26" t="s">
        <v>25</v>
      </c>
      <c r="H27" s="25" t="s">
        <v>26</v>
      </c>
      <c r="I27" s="25" t="s">
        <v>27</v>
      </c>
      <c r="J27" s="15"/>
      <c r="K27" s="8">
        <v>31447</v>
      </c>
      <c r="L27" s="13">
        <v>31447</v>
      </c>
      <c r="M27" s="13">
        <f t="shared" si="1"/>
        <v>0</v>
      </c>
      <c r="N27" s="8" t="s">
        <v>28</v>
      </c>
      <c r="O27" s="18" t="s">
        <v>29</v>
      </c>
      <c r="P27" s="8">
        <v>1</v>
      </c>
      <c r="Q27" s="8">
        <v>22</v>
      </c>
      <c r="R27" s="8">
        <v>0</v>
      </c>
      <c r="S27" s="8">
        <v>0</v>
      </c>
      <c r="T27" s="8"/>
      <c r="U27" s="8"/>
      <c r="V27" s="8" t="s">
        <v>30</v>
      </c>
      <c r="W27" s="8"/>
    </row>
    <row r="28" spans="1:23" x14ac:dyDescent="0.35">
      <c r="A28" s="18" t="s">
        <v>21</v>
      </c>
      <c r="B28" s="18" t="s">
        <v>79</v>
      </c>
      <c r="C28" s="16" t="s">
        <v>453</v>
      </c>
      <c r="D28" s="18" t="s">
        <v>23</v>
      </c>
      <c r="E28" s="9" t="s">
        <v>80</v>
      </c>
      <c r="F28" s="9"/>
      <c r="G28" s="26" t="s">
        <v>25</v>
      </c>
      <c r="H28" s="25" t="s">
        <v>26</v>
      </c>
      <c r="I28" s="25" t="s">
        <v>27</v>
      </c>
      <c r="J28" s="15"/>
      <c r="K28" s="8">
        <v>35971</v>
      </c>
      <c r="L28" s="13">
        <v>35971</v>
      </c>
      <c r="M28" s="13">
        <f t="shared" si="1"/>
        <v>0</v>
      </c>
      <c r="N28" s="8" t="s">
        <v>28</v>
      </c>
      <c r="O28" s="18" t="s">
        <v>29</v>
      </c>
      <c r="P28" s="8">
        <v>1</v>
      </c>
      <c r="Q28" s="8">
        <v>22</v>
      </c>
      <c r="R28" s="8">
        <v>0</v>
      </c>
      <c r="S28" s="8">
        <v>0</v>
      </c>
      <c r="T28" s="8"/>
      <c r="U28" s="8"/>
      <c r="V28" s="8" t="s">
        <v>30</v>
      </c>
      <c r="W28" s="8"/>
    </row>
    <row r="29" spans="1:23" x14ac:dyDescent="0.35">
      <c r="A29" s="18" t="s">
        <v>21</v>
      </c>
      <c r="B29" s="18" t="s">
        <v>81</v>
      </c>
      <c r="C29" s="16" t="s">
        <v>454</v>
      </c>
      <c r="D29" s="18" t="s">
        <v>23</v>
      </c>
      <c r="E29" s="9" t="s">
        <v>82</v>
      </c>
      <c r="F29" s="9"/>
      <c r="G29" s="26" t="s">
        <v>25</v>
      </c>
      <c r="H29" s="25" t="s">
        <v>26</v>
      </c>
      <c r="I29" s="25" t="s">
        <v>27</v>
      </c>
      <c r="J29" s="15"/>
      <c r="K29" s="8">
        <v>53272</v>
      </c>
      <c r="L29" s="13">
        <v>53272</v>
      </c>
      <c r="M29" s="13">
        <f t="shared" si="1"/>
        <v>0</v>
      </c>
      <c r="N29" s="8" t="s">
        <v>28</v>
      </c>
      <c r="O29" s="18" t="s">
        <v>29</v>
      </c>
      <c r="P29" s="8">
        <v>1</v>
      </c>
      <c r="Q29" s="8">
        <v>22</v>
      </c>
      <c r="R29" s="8">
        <v>0</v>
      </c>
      <c r="S29" s="8">
        <v>0</v>
      </c>
      <c r="T29" s="8"/>
      <c r="U29" s="8"/>
      <c r="V29" s="8" t="s">
        <v>30</v>
      </c>
      <c r="W29" s="8"/>
    </row>
    <row r="30" spans="1:23" x14ac:dyDescent="0.35">
      <c r="A30" s="18" t="s">
        <v>21</v>
      </c>
      <c r="B30" s="18" t="s">
        <v>83</v>
      </c>
      <c r="C30" s="16" t="s">
        <v>455</v>
      </c>
      <c r="D30" s="18" t="s">
        <v>23</v>
      </c>
      <c r="E30" s="9" t="s">
        <v>84</v>
      </c>
      <c r="F30" s="9"/>
      <c r="G30" s="26" t="s">
        <v>25</v>
      </c>
      <c r="H30" s="25" t="s">
        <v>26</v>
      </c>
      <c r="I30" s="25" t="s">
        <v>27</v>
      </c>
      <c r="J30" s="15"/>
      <c r="K30" s="8">
        <v>37598</v>
      </c>
      <c r="L30" s="13">
        <v>37598</v>
      </c>
      <c r="M30" s="13">
        <f t="shared" si="1"/>
        <v>0</v>
      </c>
      <c r="N30" s="8" t="s">
        <v>28</v>
      </c>
      <c r="O30" s="18" t="s">
        <v>29</v>
      </c>
      <c r="P30" s="8">
        <v>1</v>
      </c>
      <c r="Q30" s="8">
        <v>22</v>
      </c>
      <c r="R30" s="8">
        <v>0</v>
      </c>
      <c r="S30" s="8">
        <v>0</v>
      </c>
      <c r="T30" s="8"/>
      <c r="U30" s="8"/>
      <c r="V30" s="8" t="s">
        <v>30</v>
      </c>
      <c r="W30" s="8"/>
    </row>
    <row r="31" spans="1:23" x14ac:dyDescent="0.35">
      <c r="A31" s="18" t="s">
        <v>21</v>
      </c>
      <c r="B31" s="18" t="s">
        <v>85</v>
      </c>
      <c r="C31" s="16" t="s">
        <v>456</v>
      </c>
      <c r="D31" s="18" t="s">
        <v>23</v>
      </c>
      <c r="E31" s="9" t="s">
        <v>86</v>
      </c>
      <c r="F31" s="9"/>
      <c r="G31" s="26" t="s">
        <v>25</v>
      </c>
      <c r="H31" s="25" t="s">
        <v>26</v>
      </c>
      <c r="I31" s="25" t="s">
        <v>27</v>
      </c>
      <c r="J31" s="15"/>
      <c r="K31" s="8">
        <v>38800</v>
      </c>
      <c r="L31" s="13">
        <v>38800</v>
      </c>
      <c r="M31" s="13">
        <f t="shared" si="1"/>
        <v>0</v>
      </c>
      <c r="N31" s="8" t="s">
        <v>28</v>
      </c>
      <c r="O31" s="18" t="s">
        <v>29</v>
      </c>
      <c r="P31" s="8">
        <v>1</v>
      </c>
      <c r="Q31" s="8">
        <v>22</v>
      </c>
      <c r="R31" s="8">
        <v>0</v>
      </c>
      <c r="S31" s="8">
        <v>0</v>
      </c>
      <c r="T31" s="8"/>
      <c r="U31" s="8"/>
      <c r="V31" s="8" t="s">
        <v>30</v>
      </c>
      <c r="W31" s="8"/>
    </row>
    <row r="32" spans="1:23" x14ac:dyDescent="0.35">
      <c r="A32" s="18" t="s">
        <v>21</v>
      </c>
      <c r="B32" s="32" t="s">
        <v>606</v>
      </c>
      <c r="C32" s="16" t="s">
        <v>607</v>
      </c>
      <c r="D32" s="18" t="s">
        <v>23</v>
      </c>
      <c r="E32" s="9">
        <v>46069</v>
      </c>
      <c r="F32" s="9"/>
      <c r="G32" s="26" t="s">
        <v>334</v>
      </c>
      <c r="H32" s="25" t="s">
        <v>26</v>
      </c>
      <c r="I32" s="25" t="s">
        <v>27</v>
      </c>
      <c r="J32" s="15"/>
      <c r="K32" s="8">
        <v>38106</v>
      </c>
      <c r="L32" s="13">
        <v>38106</v>
      </c>
      <c r="M32" s="13">
        <f t="shared" si="1"/>
        <v>0</v>
      </c>
      <c r="N32" s="8" t="s">
        <v>28</v>
      </c>
      <c r="O32" s="18" t="s">
        <v>29</v>
      </c>
      <c r="P32" s="8">
        <v>0</v>
      </c>
      <c r="Q32" s="8">
        <v>5</v>
      </c>
      <c r="R32" s="8">
        <v>0</v>
      </c>
      <c r="S32" s="8">
        <v>0</v>
      </c>
      <c r="T32" s="8"/>
      <c r="U32" s="8"/>
      <c r="V32" s="8" t="s">
        <v>30</v>
      </c>
      <c r="W32" s="8" t="s">
        <v>334</v>
      </c>
    </row>
    <row r="33" spans="1:23" x14ac:dyDescent="0.35">
      <c r="A33" s="18" t="s">
        <v>87</v>
      </c>
      <c r="B33" s="18" t="s">
        <v>88</v>
      </c>
      <c r="C33" s="14" t="s">
        <v>417</v>
      </c>
      <c r="D33" s="18" t="s">
        <v>32</v>
      </c>
      <c r="E33" s="9" t="s">
        <v>89</v>
      </c>
      <c r="F33" s="9"/>
      <c r="G33" s="26" t="s">
        <v>25</v>
      </c>
      <c r="H33" s="26" t="s">
        <v>325</v>
      </c>
      <c r="I33" s="26" t="s">
        <v>257</v>
      </c>
      <c r="J33" s="17"/>
      <c r="K33" s="8">
        <v>112500</v>
      </c>
      <c r="L33" s="13">
        <v>112500</v>
      </c>
      <c r="M33" s="13">
        <f t="shared" ref="M33:M34" si="2">K33-L33</f>
        <v>0</v>
      </c>
      <c r="N33" s="8" t="s">
        <v>90</v>
      </c>
      <c r="O33" s="18" t="s">
        <v>29</v>
      </c>
      <c r="P33" s="8">
        <v>1</v>
      </c>
      <c r="Q33" s="8">
        <v>18</v>
      </c>
      <c r="R33" s="8">
        <v>1</v>
      </c>
      <c r="S33" s="8">
        <v>1</v>
      </c>
      <c r="T33" s="8"/>
      <c r="U33" s="8"/>
      <c r="V33" s="8" t="s">
        <v>91</v>
      </c>
      <c r="W33" s="8"/>
    </row>
    <row r="34" spans="1:23" x14ac:dyDescent="0.35">
      <c r="A34" s="18" t="s">
        <v>87</v>
      </c>
      <c r="B34" s="18" t="s">
        <v>92</v>
      </c>
      <c r="C34" s="14" t="s">
        <v>587</v>
      </c>
      <c r="D34" s="18" t="s">
        <v>32</v>
      </c>
      <c r="E34" s="9" t="s">
        <v>93</v>
      </c>
      <c r="F34" s="9"/>
      <c r="G34" s="26" t="s">
        <v>25</v>
      </c>
      <c r="H34" s="26" t="s">
        <v>325</v>
      </c>
      <c r="I34" s="26" t="s">
        <v>27</v>
      </c>
      <c r="J34" s="17"/>
      <c r="K34" s="8">
        <v>65000</v>
      </c>
      <c r="L34" s="13">
        <v>65000</v>
      </c>
      <c r="M34" s="13">
        <f t="shared" si="2"/>
        <v>0</v>
      </c>
      <c r="N34" s="8" t="s">
        <v>90</v>
      </c>
      <c r="O34" s="18" t="s">
        <v>29</v>
      </c>
      <c r="P34" s="8">
        <v>1</v>
      </c>
      <c r="Q34" s="8">
        <v>17</v>
      </c>
      <c r="R34" s="8">
        <v>2</v>
      </c>
      <c r="S34" s="8">
        <v>2</v>
      </c>
      <c r="T34" s="8"/>
      <c r="U34" s="8"/>
      <c r="V34" s="8" t="s">
        <v>91</v>
      </c>
      <c r="W34" s="8"/>
    </row>
    <row r="35" spans="1:23" x14ac:dyDescent="0.35">
      <c r="A35" s="18" t="s">
        <v>95</v>
      </c>
      <c r="B35" s="18" t="s">
        <v>96</v>
      </c>
      <c r="C35" s="16" t="s">
        <v>457</v>
      </c>
      <c r="D35" s="18" t="s">
        <v>23</v>
      </c>
      <c r="E35" s="9" t="s">
        <v>97</v>
      </c>
      <c r="F35" s="9"/>
      <c r="G35" s="26" t="s">
        <v>25</v>
      </c>
      <c r="H35" s="25" t="s">
        <v>26</v>
      </c>
      <c r="I35" s="25" t="s">
        <v>27</v>
      </c>
      <c r="J35" s="15" t="s">
        <v>347</v>
      </c>
      <c r="K35" s="8">
        <v>70833</v>
      </c>
      <c r="L35" s="13">
        <v>70833</v>
      </c>
      <c r="M35" s="13">
        <v>0</v>
      </c>
      <c r="N35" s="8" t="s">
        <v>28</v>
      </c>
      <c r="O35" s="18" t="s">
        <v>29</v>
      </c>
      <c r="P35" s="8">
        <v>1</v>
      </c>
      <c r="Q35" s="8">
        <v>21</v>
      </c>
      <c r="R35" s="8">
        <v>0</v>
      </c>
      <c r="S35" s="8">
        <v>1</v>
      </c>
      <c r="T35" s="8"/>
      <c r="U35" s="8"/>
      <c r="V35" s="8" t="s">
        <v>30</v>
      </c>
      <c r="W35" s="8"/>
    </row>
    <row r="36" spans="1:23" x14ac:dyDescent="0.35">
      <c r="A36" s="18" t="s">
        <v>95</v>
      </c>
      <c r="B36" s="18" t="s">
        <v>98</v>
      </c>
      <c r="C36" s="16" t="s">
        <v>458</v>
      </c>
      <c r="D36" s="18" t="s">
        <v>23</v>
      </c>
      <c r="E36" s="9" t="s">
        <v>99</v>
      </c>
      <c r="F36" s="9"/>
      <c r="G36" s="26" t="s">
        <v>25</v>
      </c>
      <c r="H36" s="25" t="s">
        <v>26</v>
      </c>
      <c r="I36" s="25" t="s">
        <v>27</v>
      </c>
      <c r="J36" s="15" t="s">
        <v>348</v>
      </c>
      <c r="K36" s="8">
        <v>28800</v>
      </c>
      <c r="L36" s="13">
        <v>28800</v>
      </c>
      <c r="M36" s="13">
        <v>0</v>
      </c>
      <c r="N36" s="8" t="s">
        <v>28</v>
      </c>
      <c r="O36" s="18" t="s">
        <v>29</v>
      </c>
      <c r="P36" s="8">
        <v>1</v>
      </c>
      <c r="Q36" s="8">
        <v>21</v>
      </c>
      <c r="R36" s="8">
        <v>0</v>
      </c>
      <c r="S36" s="8">
        <v>1</v>
      </c>
      <c r="T36" s="8"/>
      <c r="U36" s="8"/>
      <c r="V36" s="8" t="s">
        <v>30</v>
      </c>
      <c r="W36" s="8"/>
    </row>
    <row r="37" spans="1:23" x14ac:dyDescent="0.35">
      <c r="A37" s="18" t="s">
        <v>95</v>
      </c>
      <c r="B37" s="18" t="s">
        <v>342</v>
      </c>
      <c r="C37" s="16" t="s">
        <v>459</v>
      </c>
      <c r="D37" s="18" t="s">
        <v>23</v>
      </c>
      <c r="E37" s="9">
        <v>46055</v>
      </c>
      <c r="F37" s="9"/>
      <c r="G37" s="26" t="s">
        <v>334</v>
      </c>
      <c r="H37" s="25" t="s">
        <v>26</v>
      </c>
      <c r="I37" s="25" t="s">
        <v>257</v>
      </c>
      <c r="J37" s="15" t="s">
        <v>366</v>
      </c>
      <c r="K37" s="8">
        <v>69300</v>
      </c>
      <c r="L37" s="13">
        <v>69300</v>
      </c>
      <c r="M37" s="13">
        <v>0</v>
      </c>
      <c r="N37" s="8" t="s">
        <v>28</v>
      </c>
      <c r="O37" s="18" t="s">
        <v>29</v>
      </c>
      <c r="P37" s="8">
        <v>0</v>
      </c>
      <c r="Q37" s="8">
        <v>15</v>
      </c>
      <c r="R37" s="8">
        <v>0</v>
      </c>
      <c r="S37" s="8">
        <v>0</v>
      </c>
      <c r="T37" s="8"/>
      <c r="U37" s="8"/>
      <c r="V37" s="8" t="s">
        <v>30</v>
      </c>
      <c r="W37" s="17" t="s">
        <v>334</v>
      </c>
    </row>
    <row r="38" spans="1:23" x14ac:dyDescent="0.35">
      <c r="A38" s="18" t="s">
        <v>95</v>
      </c>
      <c r="B38" s="18" t="s">
        <v>100</v>
      </c>
      <c r="C38" s="16" t="s">
        <v>460</v>
      </c>
      <c r="D38" s="18" t="s">
        <v>23</v>
      </c>
      <c r="E38" s="9" t="s">
        <v>101</v>
      </c>
      <c r="F38" s="9"/>
      <c r="G38" s="26" t="s">
        <v>25</v>
      </c>
      <c r="H38" s="25" t="s">
        <v>26</v>
      </c>
      <c r="I38" s="25" t="s">
        <v>27</v>
      </c>
      <c r="J38" s="15" t="s">
        <v>349</v>
      </c>
      <c r="K38" s="8">
        <v>36000</v>
      </c>
      <c r="L38" s="13">
        <v>36000</v>
      </c>
      <c r="M38" s="13">
        <v>0</v>
      </c>
      <c r="N38" s="8" t="s">
        <v>28</v>
      </c>
      <c r="O38" s="18" t="s">
        <v>29</v>
      </c>
      <c r="P38" s="8">
        <v>1</v>
      </c>
      <c r="Q38" s="8">
        <v>20</v>
      </c>
      <c r="R38" s="8">
        <v>0</v>
      </c>
      <c r="S38" s="8">
        <v>2</v>
      </c>
      <c r="T38" s="8"/>
      <c r="U38" s="8"/>
      <c r="V38" s="8" t="s">
        <v>30</v>
      </c>
      <c r="W38" s="8"/>
    </row>
    <row r="39" spans="1:23" x14ac:dyDescent="0.35">
      <c r="A39" s="18" t="s">
        <v>95</v>
      </c>
      <c r="B39" s="18" t="s">
        <v>102</v>
      </c>
      <c r="C39" s="16" t="s">
        <v>461</v>
      </c>
      <c r="D39" s="18" t="s">
        <v>23</v>
      </c>
      <c r="E39" s="9" t="s">
        <v>103</v>
      </c>
      <c r="F39" s="9"/>
      <c r="G39" s="26" t="s">
        <v>25</v>
      </c>
      <c r="H39" s="25" t="s">
        <v>26</v>
      </c>
      <c r="I39" s="25" t="s">
        <v>27</v>
      </c>
      <c r="J39" s="15" t="s">
        <v>350</v>
      </c>
      <c r="K39" s="8">
        <v>30038</v>
      </c>
      <c r="L39" s="13">
        <v>30038</v>
      </c>
      <c r="M39" s="13">
        <v>0</v>
      </c>
      <c r="N39" s="8" t="s">
        <v>28</v>
      </c>
      <c r="O39" s="18" t="s">
        <v>29</v>
      </c>
      <c r="P39" s="8">
        <v>1</v>
      </c>
      <c r="Q39" s="8">
        <v>21</v>
      </c>
      <c r="R39" s="8">
        <v>0</v>
      </c>
      <c r="S39" s="8">
        <v>1</v>
      </c>
      <c r="T39" s="8"/>
      <c r="U39" s="8"/>
      <c r="V39" s="8" t="s">
        <v>30</v>
      </c>
      <c r="W39" s="8"/>
    </row>
    <row r="40" spans="1:23" x14ac:dyDescent="0.35">
      <c r="A40" s="18" t="s">
        <v>95</v>
      </c>
      <c r="B40" s="18" t="s">
        <v>104</v>
      </c>
      <c r="C40" s="16" t="s">
        <v>462</v>
      </c>
      <c r="D40" s="18" t="s">
        <v>23</v>
      </c>
      <c r="E40" s="9" t="s">
        <v>105</v>
      </c>
      <c r="F40" s="9"/>
      <c r="G40" s="26" t="s">
        <v>25</v>
      </c>
      <c r="H40" s="25" t="s">
        <v>26</v>
      </c>
      <c r="I40" s="25" t="s">
        <v>27</v>
      </c>
      <c r="J40" s="15" t="s">
        <v>351</v>
      </c>
      <c r="K40" s="8">
        <v>83333</v>
      </c>
      <c r="L40" s="13">
        <v>83333</v>
      </c>
      <c r="M40" s="13">
        <v>0</v>
      </c>
      <c r="N40" s="8" t="s">
        <v>28</v>
      </c>
      <c r="O40" s="18" t="s">
        <v>29</v>
      </c>
      <c r="P40" s="8">
        <v>1</v>
      </c>
      <c r="Q40" s="8">
        <v>22</v>
      </c>
      <c r="R40" s="8">
        <v>0</v>
      </c>
      <c r="S40" s="8">
        <v>0</v>
      </c>
      <c r="T40" s="8"/>
      <c r="U40" s="8"/>
      <c r="V40" s="8" t="s">
        <v>30</v>
      </c>
      <c r="W40" s="8"/>
    </row>
    <row r="41" spans="1:23" x14ac:dyDescent="0.35">
      <c r="A41" s="18" t="s">
        <v>95</v>
      </c>
      <c r="B41" s="18" t="s">
        <v>106</v>
      </c>
      <c r="C41" s="16" t="s">
        <v>463</v>
      </c>
      <c r="D41" s="18" t="s">
        <v>23</v>
      </c>
      <c r="E41" s="9" t="s">
        <v>107</v>
      </c>
      <c r="F41" s="9">
        <v>46053</v>
      </c>
      <c r="G41" s="26" t="s">
        <v>588</v>
      </c>
      <c r="H41" s="25" t="s">
        <v>26</v>
      </c>
      <c r="I41" s="25" t="s">
        <v>27</v>
      </c>
      <c r="J41" s="15" t="s">
        <v>352</v>
      </c>
      <c r="K41" s="8">
        <v>36570</v>
      </c>
      <c r="L41" s="13">
        <v>36570</v>
      </c>
      <c r="M41" s="13">
        <v>0</v>
      </c>
      <c r="N41" s="8" t="s">
        <v>28</v>
      </c>
      <c r="O41" s="18" t="s">
        <v>29</v>
      </c>
      <c r="P41" s="8">
        <v>1</v>
      </c>
      <c r="Q41" s="8">
        <v>7</v>
      </c>
      <c r="R41" s="8">
        <v>0</v>
      </c>
      <c r="S41" s="8">
        <v>0</v>
      </c>
      <c r="T41" s="8"/>
      <c r="U41" s="8"/>
      <c r="V41" s="8" t="s">
        <v>30</v>
      </c>
      <c r="W41" s="8" t="s">
        <v>598</v>
      </c>
    </row>
    <row r="42" spans="1:23" x14ac:dyDescent="0.35">
      <c r="A42" s="18" t="s">
        <v>95</v>
      </c>
      <c r="B42" s="18" t="s">
        <v>108</v>
      </c>
      <c r="C42" s="16" t="s">
        <v>464</v>
      </c>
      <c r="D42" s="18" t="s">
        <v>23</v>
      </c>
      <c r="E42" s="9" t="s">
        <v>109</v>
      </c>
      <c r="F42" s="9"/>
      <c r="G42" s="26" t="s">
        <v>25</v>
      </c>
      <c r="H42" s="25" t="s">
        <v>26</v>
      </c>
      <c r="I42" s="25" t="s">
        <v>27</v>
      </c>
      <c r="J42" s="15" t="s">
        <v>353</v>
      </c>
      <c r="K42" s="8">
        <v>31928</v>
      </c>
      <c r="L42" s="13">
        <v>31928</v>
      </c>
      <c r="M42" s="13">
        <v>0</v>
      </c>
      <c r="N42" s="8" t="s">
        <v>28</v>
      </c>
      <c r="O42" s="18" t="s">
        <v>29</v>
      </c>
      <c r="P42" s="8">
        <v>1</v>
      </c>
      <c r="Q42" s="8">
        <v>22</v>
      </c>
      <c r="R42" s="8">
        <v>0</v>
      </c>
      <c r="S42" s="8">
        <v>0</v>
      </c>
      <c r="T42" s="8"/>
      <c r="U42" s="8"/>
      <c r="V42" s="8" t="s">
        <v>30</v>
      </c>
      <c r="W42" s="8"/>
    </row>
    <row r="43" spans="1:23" x14ac:dyDescent="0.35">
      <c r="A43" s="18" t="s">
        <v>95</v>
      </c>
      <c r="B43" s="18" t="s">
        <v>110</v>
      </c>
      <c r="C43" s="16" t="s">
        <v>465</v>
      </c>
      <c r="D43" s="18" t="s">
        <v>32</v>
      </c>
      <c r="E43" s="9" t="s">
        <v>111</v>
      </c>
      <c r="F43" s="9"/>
      <c r="G43" s="26" t="s">
        <v>25</v>
      </c>
      <c r="H43" s="25" t="s">
        <v>26</v>
      </c>
      <c r="I43" s="25" t="s">
        <v>27</v>
      </c>
      <c r="J43" s="15" t="s">
        <v>354</v>
      </c>
      <c r="K43" s="8">
        <v>24525</v>
      </c>
      <c r="L43" s="13">
        <v>24525</v>
      </c>
      <c r="M43" s="13">
        <v>0</v>
      </c>
      <c r="N43" s="8" t="s">
        <v>28</v>
      </c>
      <c r="O43" s="18" t="s">
        <v>29</v>
      </c>
      <c r="P43" s="8">
        <v>1</v>
      </c>
      <c r="Q43" s="8">
        <v>22</v>
      </c>
      <c r="R43" s="8">
        <v>0</v>
      </c>
      <c r="S43" s="8">
        <v>0</v>
      </c>
      <c r="T43" s="8">
        <v>5288</v>
      </c>
      <c r="U43" s="8"/>
      <c r="V43" s="8" t="s">
        <v>30</v>
      </c>
      <c r="W43" s="8"/>
    </row>
    <row r="44" spans="1:23" x14ac:dyDescent="0.35">
      <c r="A44" s="18" t="s">
        <v>95</v>
      </c>
      <c r="B44" s="18" t="s">
        <v>112</v>
      </c>
      <c r="C44" s="16" t="s">
        <v>466</v>
      </c>
      <c r="D44" s="18" t="s">
        <v>23</v>
      </c>
      <c r="E44" s="9" t="s">
        <v>113</v>
      </c>
      <c r="F44" s="9"/>
      <c r="G44" s="26" t="s">
        <v>25</v>
      </c>
      <c r="H44" s="25" t="s">
        <v>26</v>
      </c>
      <c r="I44" s="25" t="s">
        <v>27</v>
      </c>
      <c r="J44" s="15" t="s">
        <v>355</v>
      </c>
      <c r="K44" s="8">
        <v>29522</v>
      </c>
      <c r="L44" s="13">
        <v>29522</v>
      </c>
      <c r="M44" s="13">
        <v>0</v>
      </c>
      <c r="N44" s="8" t="s">
        <v>28</v>
      </c>
      <c r="O44" s="18" t="s">
        <v>29</v>
      </c>
      <c r="P44" s="8">
        <v>1</v>
      </c>
      <c r="Q44" s="8">
        <v>22</v>
      </c>
      <c r="R44" s="8">
        <v>0</v>
      </c>
      <c r="S44" s="8">
        <v>0</v>
      </c>
      <c r="T44" s="8"/>
      <c r="U44" s="8"/>
      <c r="V44" s="8" t="s">
        <v>30</v>
      </c>
      <c r="W44" s="8"/>
    </row>
    <row r="45" spans="1:23" x14ac:dyDescent="0.35">
      <c r="A45" s="18" t="s">
        <v>95</v>
      </c>
      <c r="B45" s="18" t="s">
        <v>114</v>
      </c>
      <c r="C45" s="14" t="s">
        <v>418</v>
      </c>
      <c r="D45" s="18" t="s">
        <v>23</v>
      </c>
      <c r="E45" s="9" t="s">
        <v>115</v>
      </c>
      <c r="F45" s="9"/>
      <c r="G45" s="26" t="s">
        <v>25</v>
      </c>
      <c r="H45" s="25" t="s">
        <v>26</v>
      </c>
      <c r="I45" s="25" t="s">
        <v>27</v>
      </c>
      <c r="J45" s="15" t="s">
        <v>356</v>
      </c>
      <c r="K45" s="8">
        <v>34570</v>
      </c>
      <c r="L45" s="13">
        <v>34570</v>
      </c>
      <c r="M45" s="13">
        <v>0</v>
      </c>
      <c r="N45" s="8" t="s">
        <v>28</v>
      </c>
      <c r="O45" s="18" t="s">
        <v>29</v>
      </c>
      <c r="P45" s="8">
        <v>1</v>
      </c>
      <c r="Q45" s="8">
        <v>22</v>
      </c>
      <c r="R45" s="8">
        <v>0</v>
      </c>
      <c r="S45" s="8">
        <v>0</v>
      </c>
      <c r="T45" s="8"/>
      <c r="U45" s="8"/>
      <c r="V45" s="8" t="s">
        <v>30</v>
      </c>
      <c r="W45" s="8"/>
    </row>
    <row r="46" spans="1:23" x14ac:dyDescent="0.35">
      <c r="A46" s="18" t="s">
        <v>95</v>
      </c>
      <c r="B46" s="18" t="s">
        <v>116</v>
      </c>
      <c r="C46" s="16" t="s">
        <v>467</v>
      </c>
      <c r="D46" s="18" t="s">
        <v>23</v>
      </c>
      <c r="E46" s="9" t="s">
        <v>117</v>
      </c>
      <c r="F46" s="9"/>
      <c r="G46" s="26" t="s">
        <v>25</v>
      </c>
      <c r="H46" s="25" t="s">
        <v>26</v>
      </c>
      <c r="I46" s="25" t="s">
        <v>27</v>
      </c>
      <c r="J46" s="15" t="s">
        <v>357</v>
      </c>
      <c r="K46" s="8">
        <v>34650</v>
      </c>
      <c r="L46" s="13">
        <v>34650</v>
      </c>
      <c r="M46" s="13">
        <v>0</v>
      </c>
      <c r="N46" s="8" t="s">
        <v>28</v>
      </c>
      <c r="O46" s="18" t="s">
        <v>29</v>
      </c>
      <c r="P46" s="8">
        <v>1</v>
      </c>
      <c r="Q46" s="8">
        <v>22</v>
      </c>
      <c r="R46" s="8">
        <v>0</v>
      </c>
      <c r="S46" s="8">
        <v>0</v>
      </c>
      <c r="T46" s="8"/>
      <c r="U46" s="8"/>
      <c r="V46" s="8" t="s">
        <v>30</v>
      </c>
      <c r="W46" s="8"/>
    </row>
    <row r="47" spans="1:23" x14ac:dyDescent="0.35">
      <c r="A47" s="18" t="s">
        <v>95</v>
      </c>
      <c r="B47" s="18" t="s">
        <v>118</v>
      </c>
      <c r="C47" s="16" t="s">
        <v>593</v>
      </c>
      <c r="D47" s="18" t="s">
        <v>23</v>
      </c>
      <c r="E47" s="9" t="s">
        <v>119</v>
      </c>
      <c r="F47" s="9"/>
      <c r="G47" s="26" t="s">
        <v>25</v>
      </c>
      <c r="H47" s="25" t="s">
        <v>26</v>
      </c>
      <c r="I47" s="25" t="s">
        <v>27</v>
      </c>
      <c r="J47" s="15" t="s">
        <v>358</v>
      </c>
      <c r="K47" s="8">
        <v>39500</v>
      </c>
      <c r="L47" s="13">
        <v>39500</v>
      </c>
      <c r="M47" s="13">
        <v>0</v>
      </c>
      <c r="N47" s="8" t="s">
        <v>28</v>
      </c>
      <c r="O47" s="18" t="s">
        <v>29</v>
      </c>
      <c r="P47" s="8">
        <v>1</v>
      </c>
      <c r="Q47" s="8">
        <v>22</v>
      </c>
      <c r="R47" s="8">
        <v>0</v>
      </c>
      <c r="S47" s="8">
        <v>0</v>
      </c>
      <c r="T47" s="8"/>
      <c r="U47" s="8"/>
      <c r="V47" s="8" t="s">
        <v>30</v>
      </c>
      <c r="W47" s="8"/>
    </row>
    <row r="48" spans="1:23" x14ac:dyDescent="0.35">
      <c r="A48" s="18" t="s">
        <v>95</v>
      </c>
      <c r="B48" s="18" t="s">
        <v>120</v>
      </c>
      <c r="C48" s="16" t="s">
        <v>468</v>
      </c>
      <c r="D48" s="18" t="s">
        <v>23</v>
      </c>
      <c r="E48" s="9" t="s">
        <v>121</v>
      </c>
      <c r="F48" s="9"/>
      <c r="G48" s="26" t="s">
        <v>25</v>
      </c>
      <c r="H48" s="25" t="s">
        <v>26</v>
      </c>
      <c r="I48" s="25" t="s">
        <v>27</v>
      </c>
      <c r="J48" s="15" t="s">
        <v>353</v>
      </c>
      <c r="K48" s="8">
        <v>24155</v>
      </c>
      <c r="L48" s="13">
        <v>24155</v>
      </c>
      <c r="M48" s="13">
        <v>0</v>
      </c>
      <c r="N48" s="8" t="s">
        <v>28</v>
      </c>
      <c r="O48" s="18" t="s">
        <v>29</v>
      </c>
      <c r="P48" s="8">
        <v>1</v>
      </c>
      <c r="Q48" s="8">
        <v>22</v>
      </c>
      <c r="R48" s="8">
        <v>0</v>
      </c>
      <c r="S48" s="8">
        <v>0</v>
      </c>
      <c r="T48" s="8"/>
      <c r="U48" s="8"/>
      <c r="V48" s="8" t="s">
        <v>30</v>
      </c>
      <c r="W48" s="8"/>
    </row>
    <row r="49" spans="1:23" x14ac:dyDescent="0.35">
      <c r="A49" s="18" t="s">
        <v>95</v>
      </c>
      <c r="B49" s="18" t="s">
        <v>122</v>
      </c>
      <c r="C49" s="16" t="s">
        <v>469</v>
      </c>
      <c r="D49" s="18" t="s">
        <v>23</v>
      </c>
      <c r="E49" s="9" t="s">
        <v>123</v>
      </c>
      <c r="F49" s="9">
        <v>46053</v>
      </c>
      <c r="G49" s="26" t="s">
        <v>588</v>
      </c>
      <c r="H49" s="25" t="s">
        <v>26</v>
      </c>
      <c r="I49" s="25" t="s">
        <v>27</v>
      </c>
      <c r="J49" s="15" t="s">
        <v>359</v>
      </c>
      <c r="K49" s="8">
        <v>23375</v>
      </c>
      <c r="L49" s="13">
        <v>23375</v>
      </c>
      <c r="M49" s="13">
        <v>0</v>
      </c>
      <c r="N49" s="8" t="s">
        <v>28</v>
      </c>
      <c r="O49" s="18" t="s">
        <v>29</v>
      </c>
      <c r="P49" s="8">
        <v>1</v>
      </c>
      <c r="Q49" s="8">
        <v>7</v>
      </c>
      <c r="R49" s="8">
        <v>0</v>
      </c>
      <c r="S49" s="8">
        <v>0</v>
      </c>
      <c r="T49" s="8"/>
      <c r="U49" s="8"/>
      <c r="V49" s="8" t="s">
        <v>30</v>
      </c>
      <c r="W49" s="8" t="s">
        <v>598</v>
      </c>
    </row>
    <row r="50" spans="1:23" x14ac:dyDescent="0.35">
      <c r="A50" s="18" t="s">
        <v>95</v>
      </c>
      <c r="B50" s="18" t="s">
        <v>124</v>
      </c>
      <c r="C50" s="16" t="s">
        <v>470</v>
      </c>
      <c r="D50" s="18" t="s">
        <v>23</v>
      </c>
      <c r="E50" s="9" t="s">
        <v>125</v>
      </c>
      <c r="F50" s="9"/>
      <c r="G50" s="26" t="s">
        <v>25</v>
      </c>
      <c r="H50" s="25" t="s">
        <v>26</v>
      </c>
      <c r="I50" s="25" t="s">
        <v>27</v>
      </c>
      <c r="J50" s="15" t="s">
        <v>360</v>
      </c>
      <c r="K50" s="8">
        <v>112501</v>
      </c>
      <c r="L50" s="13">
        <v>112501</v>
      </c>
      <c r="M50" s="13">
        <v>0</v>
      </c>
      <c r="N50" s="8" t="s">
        <v>28</v>
      </c>
      <c r="O50" s="18" t="s">
        <v>29</v>
      </c>
      <c r="P50" s="8">
        <v>1</v>
      </c>
      <c r="Q50" s="8">
        <v>21</v>
      </c>
      <c r="R50" s="8">
        <v>0</v>
      </c>
      <c r="S50" s="8">
        <v>1</v>
      </c>
      <c r="T50" s="8"/>
      <c r="U50" s="8"/>
      <c r="V50" s="8" t="s">
        <v>30</v>
      </c>
      <c r="W50" s="8"/>
    </row>
    <row r="51" spans="1:23" x14ac:dyDescent="0.35">
      <c r="A51" s="18" t="s">
        <v>95</v>
      </c>
      <c r="B51" s="18" t="s">
        <v>339</v>
      </c>
      <c r="C51" s="16" t="s">
        <v>471</v>
      </c>
      <c r="D51" s="18" t="s">
        <v>23</v>
      </c>
      <c r="E51" s="9">
        <v>46043</v>
      </c>
      <c r="F51" s="9"/>
      <c r="G51" s="26" t="s">
        <v>334</v>
      </c>
      <c r="H51" s="25" t="s">
        <v>26</v>
      </c>
      <c r="I51" s="25" t="s">
        <v>257</v>
      </c>
      <c r="J51" s="15" t="s">
        <v>392</v>
      </c>
      <c r="K51" s="8">
        <v>55000</v>
      </c>
      <c r="L51" s="13">
        <v>55000</v>
      </c>
      <c r="M51" s="13">
        <v>0</v>
      </c>
      <c r="N51" s="8" t="s">
        <v>28</v>
      </c>
      <c r="O51" s="18" t="s">
        <v>29</v>
      </c>
      <c r="P51" s="8">
        <v>1</v>
      </c>
      <c r="Q51" s="8">
        <v>22</v>
      </c>
      <c r="R51" s="8">
        <v>0</v>
      </c>
      <c r="S51" s="8">
        <v>0</v>
      </c>
      <c r="T51" s="8"/>
      <c r="U51" s="8"/>
      <c r="V51" s="8" t="s">
        <v>30</v>
      </c>
      <c r="W51" s="17" t="s">
        <v>334</v>
      </c>
    </row>
    <row r="52" spans="1:23" x14ac:dyDescent="0.35">
      <c r="A52" s="18" t="s">
        <v>95</v>
      </c>
      <c r="B52" s="18" t="s">
        <v>126</v>
      </c>
      <c r="C52" s="16" t="s">
        <v>472</v>
      </c>
      <c r="D52" s="18" t="s">
        <v>23</v>
      </c>
      <c r="E52" s="9" t="s">
        <v>127</v>
      </c>
      <c r="F52" s="9"/>
      <c r="G52" s="26" t="s">
        <v>25</v>
      </c>
      <c r="H52" s="25" t="s">
        <v>26</v>
      </c>
      <c r="I52" s="25" t="s">
        <v>27</v>
      </c>
      <c r="J52" s="15" t="s">
        <v>357</v>
      </c>
      <c r="K52" s="8">
        <v>32525.5</v>
      </c>
      <c r="L52" s="13">
        <v>32525.5</v>
      </c>
      <c r="M52" s="13">
        <v>0</v>
      </c>
      <c r="N52" s="8" t="s">
        <v>28</v>
      </c>
      <c r="O52" s="18" t="s">
        <v>29</v>
      </c>
      <c r="P52" s="8">
        <v>1</v>
      </c>
      <c r="Q52" s="8">
        <v>22</v>
      </c>
      <c r="R52" s="8">
        <v>0</v>
      </c>
      <c r="S52" s="8">
        <v>0</v>
      </c>
      <c r="T52" s="8"/>
      <c r="U52" s="8"/>
      <c r="V52" s="8" t="s">
        <v>30</v>
      </c>
      <c r="W52" s="8"/>
    </row>
    <row r="53" spans="1:23" x14ac:dyDescent="0.35">
      <c r="A53" s="18" t="s">
        <v>95</v>
      </c>
      <c r="B53" s="18" t="s">
        <v>128</v>
      </c>
      <c r="C53" s="16" t="s">
        <v>473</v>
      </c>
      <c r="D53" s="18" t="s">
        <v>23</v>
      </c>
      <c r="E53" s="9" t="s">
        <v>129</v>
      </c>
      <c r="F53" s="9"/>
      <c r="G53" s="26" t="s">
        <v>25</v>
      </c>
      <c r="H53" s="25" t="s">
        <v>26</v>
      </c>
      <c r="I53" s="25" t="s">
        <v>27</v>
      </c>
      <c r="J53" s="15" t="s">
        <v>354</v>
      </c>
      <c r="K53" s="8">
        <v>37450</v>
      </c>
      <c r="L53" s="13">
        <v>37450</v>
      </c>
      <c r="M53" s="13">
        <v>0</v>
      </c>
      <c r="N53" s="8" t="s">
        <v>28</v>
      </c>
      <c r="O53" s="18" t="s">
        <v>29</v>
      </c>
      <c r="P53" s="8">
        <v>1</v>
      </c>
      <c r="Q53" s="8">
        <v>20</v>
      </c>
      <c r="R53" s="8">
        <v>0</v>
      </c>
      <c r="S53" s="8">
        <v>2</v>
      </c>
      <c r="T53" s="8"/>
      <c r="U53" s="8"/>
      <c r="V53" s="8" t="s">
        <v>30</v>
      </c>
      <c r="W53" s="8"/>
    </row>
    <row r="54" spans="1:23" x14ac:dyDescent="0.35">
      <c r="A54" s="18" t="s">
        <v>95</v>
      </c>
      <c r="B54" s="18" t="s">
        <v>130</v>
      </c>
      <c r="C54" s="16" t="s">
        <v>474</v>
      </c>
      <c r="D54" s="18" t="s">
        <v>32</v>
      </c>
      <c r="E54" s="9" t="s">
        <v>131</v>
      </c>
      <c r="F54" s="9"/>
      <c r="G54" s="26" t="s">
        <v>25</v>
      </c>
      <c r="H54" s="25" t="s">
        <v>26</v>
      </c>
      <c r="I54" s="25" t="s">
        <v>27</v>
      </c>
      <c r="J54" s="15" t="s">
        <v>361</v>
      </c>
      <c r="K54" s="8">
        <v>27800</v>
      </c>
      <c r="L54" s="13">
        <v>27800</v>
      </c>
      <c r="M54" s="13">
        <v>0</v>
      </c>
      <c r="N54" s="8" t="s">
        <v>28</v>
      </c>
      <c r="O54" s="18" t="s">
        <v>29</v>
      </c>
      <c r="P54" s="8">
        <v>1</v>
      </c>
      <c r="Q54" s="8">
        <v>21</v>
      </c>
      <c r="R54" s="8">
        <v>0</v>
      </c>
      <c r="S54" s="8">
        <v>1</v>
      </c>
      <c r="T54" s="8"/>
      <c r="U54" s="8"/>
      <c r="V54" s="8" t="s">
        <v>30</v>
      </c>
      <c r="W54" s="8"/>
    </row>
    <row r="55" spans="1:23" x14ac:dyDescent="0.35">
      <c r="A55" s="18" t="s">
        <v>95</v>
      </c>
      <c r="B55" s="18" t="s">
        <v>132</v>
      </c>
      <c r="C55" s="16" t="s">
        <v>475</v>
      </c>
      <c r="D55" s="18" t="s">
        <v>23</v>
      </c>
      <c r="E55" s="9" t="s">
        <v>133</v>
      </c>
      <c r="F55" s="9"/>
      <c r="G55" s="26" t="s">
        <v>25</v>
      </c>
      <c r="H55" s="25" t="s">
        <v>26</v>
      </c>
      <c r="I55" s="25" t="s">
        <v>27</v>
      </c>
      <c r="J55" s="15" t="s">
        <v>362</v>
      </c>
      <c r="K55" s="8">
        <v>54570</v>
      </c>
      <c r="L55" s="13">
        <v>54570</v>
      </c>
      <c r="M55" s="13">
        <v>0</v>
      </c>
      <c r="N55" s="8" t="s">
        <v>28</v>
      </c>
      <c r="O55" s="18" t="s">
        <v>29</v>
      </c>
      <c r="P55" s="8">
        <v>1</v>
      </c>
      <c r="Q55" s="8">
        <v>22</v>
      </c>
      <c r="R55" s="8">
        <v>0</v>
      </c>
      <c r="S55" s="8">
        <v>0</v>
      </c>
      <c r="T55" s="8"/>
      <c r="U55" s="8"/>
      <c r="V55" s="8" t="s">
        <v>30</v>
      </c>
      <c r="W55" s="8"/>
    </row>
    <row r="56" spans="1:23" x14ac:dyDescent="0.35">
      <c r="A56" s="18" t="s">
        <v>95</v>
      </c>
      <c r="B56" s="18" t="s">
        <v>134</v>
      </c>
      <c r="C56" s="14" t="s">
        <v>420</v>
      </c>
      <c r="D56" s="18" t="s">
        <v>23</v>
      </c>
      <c r="E56" s="9" t="s">
        <v>107</v>
      </c>
      <c r="F56" s="9"/>
      <c r="G56" s="26" t="s">
        <v>25</v>
      </c>
      <c r="H56" s="25" t="s">
        <v>26</v>
      </c>
      <c r="I56" s="25" t="s">
        <v>27</v>
      </c>
      <c r="J56" s="15" t="s">
        <v>363</v>
      </c>
      <c r="K56" s="8">
        <v>33870</v>
      </c>
      <c r="L56" s="13">
        <v>33870</v>
      </c>
      <c r="M56" s="13">
        <v>0</v>
      </c>
      <c r="N56" s="8" t="s">
        <v>28</v>
      </c>
      <c r="O56" s="18" t="s">
        <v>29</v>
      </c>
      <c r="P56" s="8">
        <v>1</v>
      </c>
      <c r="Q56" s="8">
        <v>20</v>
      </c>
      <c r="R56" s="8">
        <v>0</v>
      </c>
      <c r="S56" s="8">
        <v>2</v>
      </c>
      <c r="T56" s="8"/>
      <c r="U56" s="8"/>
      <c r="V56" s="8" t="s">
        <v>30</v>
      </c>
      <c r="W56" s="8"/>
    </row>
    <row r="57" spans="1:23" x14ac:dyDescent="0.35">
      <c r="A57" s="18" t="s">
        <v>95</v>
      </c>
      <c r="B57" s="18" t="s">
        <v>135</v>
      </c>
      <c r="C57" s="14" t="s">
        <v>421</v>
      </c>
      <c r="D57" s="18" t="s">
        <v>23</v>
      </c>
      <c r="E57" s="9" t="s">
        <v>136</v>
      </c>
      <c r="F57" s="9">
        <v>46052</v>
      </c>
      <c r="G57" s="26" t="s">
        <v>588</v>
      </c>
      <c r="H57" s="25" t="s">
        <v>26</v>
      </c>
      <c r="I57" s="25" t="s">
        <v>27</v>
      </c>
      <c r="J57" s="15" t="s">
        <v>364</v>
      </c>
      <c r="K57" s="8">
        <v>58334</v>
      </c>
      <c r="L57" s="13">
        <v>58334</v>
      </c>
      <c r="M57" s="13">
        <v>0</v>
      </c>
      <c r="N57" s="8" t="s">
        <v>28</v>
      </c>
      <c r="O57" s="18" t="s">
        <v>29</v>
      </c>
      <c r="P57" s="8">
        <v>1</v>
      </c>
      <c r="Q57" s="8">
        <v>7</v>
      </c>
      <c r="R57" s="8">
        <v>0</v>
      </c>
      <c r="S57" s="8">
        <v>0</v>
      </c>
      <c r="T57" s="8"/>
      <c r="U57" s="8"/>
      <c r="V57" s="8" t="s">
        <v>30</v>
      </c>
      <c r="W57" s="8" t="s">
        <v>599</v>
      </c>
    </row>
    <row r="58" spans="1:23" x14ac:dyDescent="0.35">
      <c r="A58" s="18" t="s">
        <v>95</v>
      </c>
      <c r="B58" s="18" t="s">
        <v>137</v>
      </c>
      <c r="C58" s="16" t="s">
        <v>476</v>
      </c>
      <c r="D58" s="18" t="s">
        <v>23</v>
      </c>
      <c r="E58" s="9" t="s">
        <v>138</v>
      </c>
      <c r="F58" s="9"/>
      <c r="G58" s="26" t="s">
        <v>25</v>
      </c>
      <c r="H58" s="25" t="s">
        <v>26</v>
      </c>
      <c r="I58" s="25" t="s">
        <v>27</v>
      </c>
      <c r="J58" s="15" t="s">
        <v>365</v>
      </c>
      <c r="K58" s="8">
        <v>29975</v>
      </c>
      <c r="L58" s="13">
        <v>29975</v>
      </c>
      <c r="M58" s="13">
        <v>0</v>
      </c>
      <c r="N58" s="8" t="s">
        <v>28</v>
      </c>
      <c r="O58" s="18" t="s">
        <v>29</v>
      </c>
      <c r="P58" s="8">
        <v>1</v>
      </c>
      <c r="Q58" s="8">
        <v>22</v>
      </c>
      <c r="R58" s="8">
        <v>0</v>
      </c>
      <c r="S58" s="8">
        <v>0</v>
      </c>
      <c r="T58" s="8"/>
      <c r="U58" s="8"/>
      <c r="V58" s="8" t="s">
        <v>30</v>
      </c>
      <c r="W58" s="8"/>
    </row>
    <row r="59" spans="1:23" x14ac:dyDescent="0.35">
      <c r="A59" s="18" t="s">
        <v>95</v>
      </c>
      <c r="B59" s="18" t="s">
        <v>139</v>
      </c>
      <c r="C59" s="16" t="s">
        <v>477</v>
      </c>
      <c r="D59" s="18" t="s">
        <v>23</v>
      </c>
      <c r="E59" s="9" t="s">
        <v>140</v>
      </c>
      <c r="F59" s="9"/>
      <c r="G59" s="26" t="s">
        <v>25</v>
      </c>
      <c r="H59" s="25" t="s">
        <v>26</v>
      </c>
      <c r="I59" s="25" t="s">
        <v>27</v>
      </c>
      <c r="J59" s="15" t="s">
        <v>363</v>
      </c>
      <c r="K59" s="8">
        <v>31570</v>
      </c>
      <c r="L59" s="13">
        <v>31570</v>
      </c>
      <c r="M59" s="13">
        <v>0</v>
      </c>
      <c r="N59" s="8" t="s">
        <v>28</v>
      </c>
      <c r="O59" s="18" t="s">
        <v>29</v>
      </c>
      <c r="P59" s="8">
        <v>1</v>
      </c>
      <c r="Q59" s="8">
        <v>22</v>
      </c>
      <c r="R59" s="8">
        <v>0</v>
      </c>
      <c r="S59" s="8">
        <v>0</v>
      </c>
      <c r="T59" s="8"/>
      <c r="U59" s="8"/>
      <c r="V59" s="8" t="s">
        <v>30</v>
      </c>
      <c r="W59" s="8"/>
    </row>
    <row r="60" spans="1:23" x14ac:dyDescent="0.35">
      <c r="A60" s="18" t="s">
        <v>95</v>
      </c>
      <c r="B60" s="34" t="s">
        <v>609</v>
      </c>
      <c r="C60" s="18" t="s">
        <v>610</v>
      </c>
      <c r="D60" s="18" t="s">
        <v>23</v>
      </c>
      <c r="E60" s="9">
        <v>45979</v>
      </c>
      <c r="F60" s="9">
        <v>46058</v>
      </c>
      <c r="G60" s="35" t="s">
        <v>588</v>
      </c>
      <c r="H60" s="25" t="s">
        <v>26</v>
      </c>
      <c r="I60" s="35"/>
      <c r="J60" s="36" t="s">
        <v>611</v>
      </c>
      <c r="K60" s="36">
        <v>58334</v>
      </c>
      <c r="L60" s="36">
        <v>58334</v>
      </c>
      <c r="M60" s="36">
        <v>0</v>
      </c>
      <c r="N60" s="36" t="s">
        <v>28</v>
      </c>
      <c r="O60" s="36" t="s">
        <v>29</v>
      </c>
      <c r="P60" s="8">
        <v>1</v>
      </c>
      <c r="Q60" s="8">
        <v>11</v>
      </c>
      <c r="R60" s="8">
        <v>0</v>
      </c>
      <c r="S60" s="8">
        <v>0</v>
      </c>
      <c r="T60" s="36"/>
      <c r="U60" s="36"/>
      <c r="V60" s="36" t="s">
        <v>30</v>
      </c>
      <c r="W60" s="36" t="s">
        <v>612</v>
      </c>
    </row>
    <row r="61" spans="1:23" x14ac:dyDescent="0.35">
      <c r="A61" s="18" t="s">
        <v>95</v>
      </c>
      <c r="B61" s="18" t="s">
        <v>141</v>
      </c>
      <c r="C61" s="16" t="s">
        <v>478</v>
      </c>
      <c r="D61" s="18" t="s">
        <v>23</v>
      </c>
      <c r="E61" s="9" t="s">
        <v>123</v>
      </c>
      <c r="F61" s="9"/>
      <c r="G61" s="26" t="s">
        <v>25</v>
      </c>
      <c r="H61" s="25" t="s">
        <v>26</v>
      </c>
      <c r="I61" s="25" t="s">
        <v>27</v>
      </c>
      <c r="J61" s="15" t="s">
        <v>359</v>
      </c>
      <c r="K61" s="8">
        <v>24544</v>
      </c>
      <c r="L61" s="13">
        <v>24544</v>
      </c>
      <c r="M61" s="13">
        <v>0</v>
      </c>
      <c r="N61" s="8" t="s">
        <v>28</v>
      </c>
      <c r="O61" s="18" t="s">
        <v>29</v>
      </c>
      <c r="P61" s="8">
        <v>1</v>
      </c>
      <c r="Q61" s="8">
        <v>22</v>
      </c>
      <c r="R61" s="8">
        <v>0</v>
      </c>
      <c r="S61" s="8">
        <v>0</v>
      </c>
      <c r="T61" s="8"/>
      <c r="U61" s="8"/>
      <c r="V61" s="8" t="s">
        <v>30</v>
      </c>
      <c r="W61" s="8"/>
    </row>
    <row r="62" spans="1:23" x14ac:dyDescent="0.35">
      <c r="A62" s="18" t="s">
        <v>95</v>
      </c>
      <c r="B62" s="18" t="s">
        <v>142</v>
      </c>
      <c r="C62" s="16" t="s">
        <v>479</v>
      </c>
      <c r="D62" s="18" t="s">
        <v>23</v>
      </c>
      <c r="E62" s="9" t="s">
        <v>97</v>
      </c>
      <c r="F62" s="9"/>
      <c r="G62" s="26" t="s">
        <v>25</v>
      </c>
      <c r="H62" s="25" t="s">
        <v>26</v>
      </c>
      <c r="I62" s="25" t="s">
        <v>27</v>
      </c>
      <c r="J62" s="15" t="s">
        <v>367</v>
      </c>
      <c r="K62" s="8">
        <v>70833</v>
      </c>
      <c r="L62" s="13">
        <v>70833</v>
      </c>
      <c r="M62" s="13">
        <v>0</v>
      </c>
      <c r="N62" s="8" t="s">
        <v>28</v>
      </c>
      <c r="O62" s="18" t="s">
        <v>29</v>
      </c>
      <c r="P62" s="8">
        <v>1</v>
      </c>
      <c r="Q62" s="8">
        <v>21</v>
      </c>
      <c r="R62" s="8">
        <v>0</v>
      </c>
      <c r="S62" s="8">
        <v>1</v>
      </c>
      <c r="T62" s="8"/>
      <c r="U62" s="8"/>
      <c r="V62" s="8" t="s">
        <v>30</v>
      </c>
      <c r="W62" s="8"/>
    </row>
    <row r="63" spans="1:23" x14ac:dyDescent="0.35">
      <c r="A63" s="18" t="s">
        <v>95</v>
      </c>
      <c r="B63" s="18" t="s">
        <v>343</v>
      </c>
      <c r="C63" s="16" t="s">
        <v>480</v>
      </c>
      <c r="D63" s="18" t="s">
        <v>23</v>
      </c>
      <c r="E63" s="9">
        <v>46055</v>
      </c>
      <c r="F63" s="9"/>
      <c r="G63" s="26" t="s">
        <v>334</v>
      </c>
      <c r="H63" s="25" t="s">
        <v>26</v>
      </c>
      <c r="I63" s="25" t="s">
        <v>27</v>
      </c>
      <c r="J63" s="15" t="s">
        <v>370</v>
      </c>
      <c r="K63" s="8">
        <v>20087</v>
      </c>
      <c r="L63" s="13">
        <v>20087</v>
      </c>
      <c r="M63" s="13">
        <v>0</v>
      </c>
      <c r="N63" s="8" t="s">
        <v>28</v>
      </c>
      <c r="O63" s="18" t="s">
        <v>29</v>
      </c>
      <c r="P63" s="8">
        <v>0</v>
      </c>
      <c r="Q63" s="8">
        <v>15</v>
      </c>
      <c r="R63" s="8">
        <v>0</v>
      </c>
      <c r="S63" s="8">
        <v>0</v>
      </c>
      <c r="T63" s="8"/>
      <c r="U63" s="8"/>
      <c r="V63" s="8" t="s">
        <v>30</v>
      </c>
      <c r="W63" s="17" t="s">
        <v>334</v>
      </c>
    </row>
    <row r="64" spans="1:23" x14ac:dyDescent="0.35">
      <c r="A64" s="18" t="s">
        <v>95</v>
      </c>
      <c r="B64" s="18" t="s">
        <v>143</v>
      </c>
      <c r="C64" s="16" t="s">
        <v>481</v>
      </c>
      <c r="D64" s="18" t="s">
        <v>23</v>
      </c>
      <c r="E64" s="9" t="s">
        <v>144</v>
      </c>
      <c r="F64" s="9"/>
      <c r="G64" s="26" t="s">
        <v>25</v>
      </c>
      <c r="H64" s="25" t="s">
        <v>26</v>
      </c>
      <c r="I64" s="25" t="s">
        <v>27</v>
      </c>
      <c r="J64" s="15" t="s">
        <v>368</v>
      </c>
      <c r="K64" s="8">
        <v>54570</v>
      </c>
      <c r="L64" s="13">
        <v>54570</v>
      </c>
      <c r="M64" s="13">
        <v>0</v>
      </c>
      <c r="N64" s="8" t="s">
        <v>28</v>
      </c>
      <c r="O64" s="18" t="s">
        <v>29</v>
      </c>
      <c r="P64" s="8">
        <v>1</v>
      </c>
      <c r="Q64" s="8">
        <v>22</v>
      </c>
      <c r="R64" s="8">
        <v>0</v>
      </c>
      <c r="S64" s="8">
        <v>0</v>
      </c>
      <c r="T64" s="8"/>
      <c r="U64" s="8"/>
      <c r="V64" s="8" t="s">
        <v>30</v>
      </c>
      <c r="W64" s="8"/>
    </row>
    <row r="65" spans="1:23" x14ac:dyDescent="0.35">
      <c r="A65" s="18" t="s">
        <v>95</v>
      </c>
      <c r="B65" s="18" t="s">
        <v>145</v>
      </c>
      <c r="C65" s="16" t="s">
        <v>482</v>
      </c>
      <c r="D65" s="18" t="s">
        <v>23</v>
      </c>
      <c r="E65" s="9" t="s">
        <v>115</v>
      </c>
      <c r="F65" s="9"/>
      <c r="G65" s="26" t="s">
        <v>25</v>
      </c>
      <c r="H65" s="25" t="s">
        <v>26</v>
      </c>
      <c r="I65" s="25" t="s">
        <v>27</v>
      </c>
      <c r="J65" s="15" t="s">
        <v>369</v>
      </c>
      <c r="K65" s="8">
        <v>71668</v>
      </c>
      <c r="L65" s="13">
        <v>71668</v>
      </c>
      <c r="M65" s="13">
        <v>0</v>
      </c>
      <c r="N65" s="8" t="s">
        <v>28</v>
      </c>
      <c r="O65" s="18" t="s">
        <v>29</v>
      </c>
      <c r="P65" s="8">
        <v>1</v>
      </c>
      <c r="Q65" s="8">
        <v>21</v>
      </c>
      <c r="R65" s="8">
        <v>0</v>
      </c>
      <c r="S65" s="8">
        <v>1</v>
      </c>
      <c r="T65" s="8"/>
      <c r="U65" s="8"/>
      <c r="V65" s="8" t="s">
        <v>30</v>
      </c>
      <c r="W65" s="8"/>
    </row>
    <row r="66" spans="1:23" x14ac:dyDescent="0.35">
      <c r="A66" s="18" t="s">
        <v>95</v>
      </c>
      <c r="B66" s="18" t="s">
        <v>146</v>
      </c>
      <c r="C66" s="16" t="s">
        <v>483</v>
      </c>
      <c r="D66" s="18" t="s">
        <v>23</v>
      </c>
      <c r="E66" s="9" t="s">
        <v>147</v>
      </c>
      <c r="F66" s="9"/>
      <c r="G66" s="26" t="s">
        <v>25</v>
      </c>
      <c r="H66" s="25" t="s">
        <v>26</v>
      </c>
      <c r="I66" s="25" t="s">
        <v>27</v>
      </c>
      <c r="J66" s="15" t="s">
        <v>370</v>
      </c>
      <c r="K66" s="8">
        <v>26888</v>
      </c>
      <c r="L66" s="13">
        <v>26888</v>
      </c>
      <c r="M66" s="13">
        <v>0</v>
      </c>
      <c r="N66" s="8" t="s">
        <v>28</v>
      </c>
      <c r="O66" s="18" t="s">
        <v>29</v>
      </c>
      <c r="P66" s="8">
        <v>1</v>
      </c>
      <c r="Q66" s="8">
        <v>22</v>
      </c>
      <c r="R66" s="8">
        <v>0</v>
      </c>
      <c r="S66" s="8">
        <v>0</v>
      </c>
      <c r="T66" s="8"/>
      <c r="U66" s="8"/>
      <c r="V66" s="8" t="s">
        <v>30</v>
      </c>
      <c r="W66" s="8"/>
    </row>
    <row r="67" spans="1:23" x14ac:dyDescent="0.35">
      <c r="A67" s="18" t="s">
        <v>95</v>
      </c>
      <c r="B67" s="18" t="s">
        <v>148</v>
      </c>
      <c r="C67" s="16" t="s">
        <v>484</v>
      </c>
      <c r="D67" s="18" t="s">
        <v>23</v>
      </c>
      <c r="E67" s="9" t="s">
        <v>149</v>
      </c>
      <c r="F67" s="9"/>
      <c r="G67" s="26" t="s">
        <v>25</v>
      </c>
      <c r="H67" s="25" t="s">
        <v>26</v>
      </c>
      <c r="I67" s="25" t="s">
        <v>27</v>
      </c>
      <c r="J67" s="15" t="s">
        <v>371</v>
      </c>
      <c r="K67" s="8">
        <v>35498</v>
      </c>
      <c r="L67" s="13">
        <v>35498</v>
      </c>
      <c r="M67" s="13">
        <v>0</v>
      </c>
      <c r="N67" s="8" t="s">
        <v>28</v>
      </c>
      <c r="O67" s="18" t="s">
        <v>29</v>
      </c>
      <c r="P67" s="8">
        <v>1</v>
      </c>
      <c r="Q67" s="8">
        <v>21</v>
      </c>
      <c r="R67" s="8">
        <v>0</v>
      </c>
      <c r="S67" s="8">
        <v>1</v>
      </c>
      <c r="T67" s="8"/>
      <c r="U67" s="8"/>
      <c r="V67" s="8" t="s">
        <v>30</v>
      </c>
      <c r="W67" s="8"/>
    </row>
    <row r="68" spans="1:23" x14ac:dyDescent="0.35">
      <c r="A68" s="18" t="s">
        <v>95</v>
      </c>
      <c r="B68" s="18" t="s">
        <v>150</v>
      </c>
      <c r="C68" s="16" t="s">
        <v>485</v>
      </c>
      <c r="D68" s="18" t="s">
        <v>23</v>
      </c>
      <c r="E68" s="9" t="s">
        <v>151</v>
      </c>
      <c r="F68" s="9"/>
      <c r="G68" s="26" t="s">
        <v>25</v>
      </c>
      <c r="H68" s="25" t="s">
        <v>26</v>
      </c>
      <c r="I68" s="25" t="s">
        <v>27</v>
      </c>
      <c r="J68" s="15" t="s">
        <v>372</v>
      </c>
      <c r="K68" s="8">
        <v>57700</v>
      </c>
      <c r="L68" s="13">
        <v>57700</v>
      </c>
      <c r="M68" s="13">
        <v>0</v>
      </c>
      <c r="N68" s="8" t="s">
        <v>28</v>
      </c>
      <c r="O68" s="18" t="s">
        <v>29</v>
      </c>
      <c r="P68" s="8">
        <v>1</v>
      </c>
      <c r="Q68" s="8">
        <v>20</v>
      </c>
      <c r="R68" s="8">
        <v>0</v>
      </c>
      <c r="S68" s="8">
        <v>2</v>
      </c>
      <c r="T68" s="8"/>
      <c r="U68" s="8"/>
      <c r="V68" s="8" t="s">
        <v>30</v>
      </c>
      <c r="W68" s="8"/>
    </row>
    <row r="69" spans="1:23" x14ac:dyDescent="0.35">
      <c r="A69" s="18" t="s">
        <v>95</v>
      </c>
      <c r="B69" s="18" t="s">
        <v>152</v>
      </c>
      <c r="C69" s="16" t="s">
        <v>486</v>
      </c>
      <c r="D69" s="18" t="s">
        <v>23</v>
      </c>
      <c r="E69" s="9" t="s">
        <v>153</v>
      </c>
      <c r="F69" s="9"/>
      <c r="G69" s="26" t="s">
        <v>25</v>
      </c>
      <c r="H69" s="25" t="s">
        <v>26</v>
      </c>
      <c r="I69" s="25" t="s">
        <v>27</v>
      </c>
      <c r="J69" s="15" t="s">
        <v>370</v>
      </c>
      <c r="K69" s="8">
        <v>32046</v>
      </c>
      <c r="L69" s="13">
        <v>32046</v>
      </c>
      <c r="M69" s="13">
        <v>0</v>
      </c>
      <c r="N69" s="8" t="s">
        <v>28</v>
      </c>
      <c r="O69" s="18" t="s">
        <v>29</v>
      </c>
      <c r="P69" s="8">
        <v>1</v>
      </c>
      <c r="Q69" s="8">
        <v>22</v>
      </c>
      <c r="R69" s="8">
        <v>0</v>
      </c>
      <c r="S69" s="8">
        <v>0</v>
      </c>
      <c r="T69" s="8"/>
      <c r="U69" s="8"/>
      <c r="V69" s="8" t="s">
        <v>30</v>
      </c>
      <c r="W69" s="8"/>
    </row>
    <row r="70" spans="1:23" x14ac:dyDescent="0.35">
      <c r="A70" s="18" t="s">
        <v>95</v>
      </c>
      <c r="B70" s="18" t="s">
        <v>340</v>
      </c>
      <c r="C70" s="16" t="s">
        <v>487</v>
      </c>
      <c r="D70" s="18" t="s">
        <v>23</v>
      </c>
      <c r="E70" s="9">
        <v>46049</v>
      </c>
      <c r="F70" s="9"/>
      <c r="G70" s="26" t="s">
        <v>334</v>
      </c>
      <c r="H70" s="25" t="s">
        <v>26</v>
      </c>
      <c r="I70" s="25" t="s">
        <v>257</v>
      </c>
      <c r="J70" s="15" t="s">
        <v>393</v>
      </c>
      <c r="K70" s="8">
        <v>75000</v>
      </c>
      <c r="L70" s="13">
        <v>75000</v>
      </c>
      <c r="M70" s="13">
        <v>0</v>
      </c>
      <c r="N70" s="8" t="s">
        <v>28</v>
      </c>
      <c r="O70" s="18" t="s">
        <v>29</v>
      </c>
      <c r="P70" s="8">
        <v>1</v>
      </c>
      <c r="Q70" s="8">
        <v>18</v>
      </c>
      <c r="R70" s="8">
        <v>0</v>
      </c>
      <c r="S70" s="8">
        <v>0</v>
      </c>
      <c r="T70" s="8"/>
      <c r="U70" s="8"/>
      <c r="V70" s="8" t="s">
        <v>30</v>
      </c>
      <c r="W70" s="17" t="s">
        <v>334</v>
      </c>
    </row>
    <row r="71" spans="1:23" x14ac:dyDescent="0.35">
      <c r="A71" s="18" t="s">
        <v>95</v>
      </c>
      <c r="B71" s="18" t="s">
        <v>154</v>
      </c>
      <c r="C71" s="16" t="s">
        <v>488</v>
      </c>
      <c r="D71" s="18" t="s">
        <v>23</v>
      </c>
      <c r="E71" s="9" t="s">
        <v>123</v>
      </c>
      <c r="F71" s="9"/>
      <c r="G71" s="26" t="s">
        <v>25</v>
      </c>
      <c r="H71" s="25" t="s">
        <v>26</v>
      </c>
      <c r="I71" s="25" t="s">
        <v>27</v>
      </c>
      <c r="J71" s="15" t="s">
        <v>373</v>
      </c>
      <c r="K71" s="8">
        <v>44138</v>
      </c>
      <c r="L71" s="13">
        <v>54973</v>
      </c>
      <c r="M71" s="13">
        <v>-10835</v>
      </c>
      <c r="N71" s="8" t="s">
        <v>28</v>
      </c>
      <c r="O71" s="18" t="s">
        <v>29</v>
      </c>
      <c r="P71" s="8">
        <v>1</v>
      </c>
      <c r="Q71" s="8">
        <v>22</v>
      </c>
      <c r="R71" s="8">
        <v>0</v>
      </c>
      <c r="S71" s="8">
        <v>0</v>
      </c>
      <c r="T71" s="8"/>
      <c r="U71" s="8"/>
      <c r="V71" s="8" t="s">
        <v>30</v>
      </c>
      <c r="W71" s="8"/>
    </row>
    <row r="72" spans="1:23" x14ac:dyDescent="0.35">
      <c r="A72" s="18" t="s">
        <v>95</v>
      </c>
      <c r="B72" s="18" t="s">
        <v>155</v>
      </c>
      <c r="C72" s="16" t="s">
        <v>489</v>
      </c>
      <c r="D72" s="18" t="s">
        <v>23</v>
      </c>
      <c r="E72" s="9" t="s">
        <v>53</v>
      </c>
      <c r="F72" s="9"/>
      <c r="G72" s="26" t="s">
        <v>25</v>
      </c>
      <c r="H72" s="25" t="s">
        <v>26</v>
      </c>
      <c r="I72" s="25" t="s">
        <v>27</v>
      </c>
      <c r="J72" s="15" t="s">
        <v>347</v>
      </c>
      <c r="K72" s="8">
        <v>45767</v>
      </c>
      <c r="L72" s="13">
        <v>45767</v>
      </c>
      <c r="M72" s="13">
        <v>0</v>
      </c>
      <c r="N72" s="8" t="s">
        <v>28</v>
      </c>
      <c r="O72" s="18" t="s">
        <v>29</v>
      </c>
      <c r="P72" s="8">
        <v>1</v>
      </c>
      <c r="Q72" s="8">
        <v>22</v>
      </c>
      <c r="R72" s="8">
        <v>0</v>
      </c>
      <c r="S72" s="8">
        <v>0</v>
      </c>
      <c r="T72" s="8"/>
      <c r="U72" s="8"/>
      <c r="V72" s="8" t="s">
        <v>30</v>
      </c>
      <c r="W72" s="8"/>
    </row>
    <row r="73" spans="1:23" x14ac:dyDescent="0.35">
      <c r="A73" s="18" t="s">
        <v>95</v>
      </c>
      <c r="B73" s="18" t="s">
        <v>596</v>
      </c>
      <c r="C73" s="14" t="s">
        <v>423</v>
      </c>
      <c r="D73" s="18" t="s">
        <v>23</v>
      </c>
      <c r="E73" s="9">
        <v>46063</v>
      </c>
      <c r="F73" s="9"/>
      <c r="G73" s="26" t="s">
        <v>334</v>
      </c>
      <c r="H73" s="25" t="s">
        <v>26</v>
      </c>
      <c r="I73" s="25" t="s">
        <v>27</v>
      </c>
      <c r="J73" s="15" t="s">
        <v>370</v>
      </c>
      <c r="K73" s="8">
        <v>35292</v>
      </c>
      <c r="L73" s="13">
        <v>35292</v>
      </c>
      <c r="M73" s="13">
        <v>0</v>
      </c>
      <c r="N73" s="8" t="s">
        <v>28</v>
      </c>
      <c r="O73" s="18" t="s">
        <v>29</v>
      </c>
      <c r="P73" s="8">
        <v>0</v>
      </c>
      <c r="Q73" s="8">
        <v>9</v>
      </c>
      <c r="R73" s="8">
        <v>0</v>
      </c>
      <c r="S73" s="8">
        <v>0</v>
      </c>
      <c r="T73" s="8"/>
      <c r="U73" s="8"/>
      <c r="V73" s="8" t="s">
        <v>30</v>
      </c>
      <c r="W73" s="17" t="s">
        <v>334</v>
      </c>
    </row>
    <row r="74" spans="1:23" x14ac:dyDescent="0.35">
      <c r="A74" s="18" t="s">
        <v>95</v>
      </c>
      <c r="B74" s="18" t="s">
        <v>156</v>
      </c>
      <c r="C74" s="16" t="s">
        <v>490</v>
      </c>
      <c r="D74" s="18" t="s">
        <v>23</v>
      </c>
      <c r="E74" s="9" t="s">
        <v>157</v>
      </c>
      <c r="F74" s="9"/>
      <c r="G74" s="26" t="s">
        <v>25</v>
      </c>
      <c r="H74" s="25" t="s">
        <v>26</v>
      </c>
      <c r="I74" s="25" t="s">
        <v>27</v>
      </c>
      <c r="J74" s="15" t="s">
        <v>374</v>
      </c>
      <c r="K74" s="8">
        <v>29100</v>
      </c>
      <c r="L74" s="13">
        <v>29100</v>
      </c>
      <c r="M74" s="13">
        <v>0</v>
      </c>
      <c r="N74" s="8" t="s">
        <v>28</v>
      </c>
      <c r="O74" s="18" t="s">
        <v>29</v>
      </c>
      <c r="P74" s="8">
        <v>1</v>
      </c>
      <c r="Q74" s="8">
        <v>22</v>
      </c>
      <c r="R74" s="8">
        <v>0</v>
      </c>
      <c r="S74" s="8">
        <v>0</v>
      </c>
      <c r="T74" s="8"/>
      <c r="U74" s="8"/>
      <c r="V74" s="8" t="s">
        <v>30</v>
      </c>
      <c r="W74" s="8"/>
    </row>
    <row r="75" spans="1:23" x14ac:dyDescent="0.35">
      <c r="A75" s="18" t="s">
        <v>95</v>
      </c>
      <c r="B75" s="18" t="s">
        <v>158</v>
      </c>
      <c r="C75" s="16" t="s">
        <v>491</v>
      </c>
      <c r="D75" s="18" t="s">
        <v>23</v>
      </c>
      <c r="E75" s="9" t="s">
        <v>159</v>
      </c>
      <c r="F75" s="9"/>
      <c r="G75" s="26" t="s">
        <v>25</v>
      </c>
      <c r="H75" s="25" t="s">
        <v>26</v>
      </c>
      <c r="I75" s="25" t="s">
        <v>27</v>
      </c>
      <c r="J75" s="15" t="s">
        <v>354</v>
      </c>
      <c r="K75" s="8">
        <v>43346</v>
      </c>
      <c r="L75" s="13">
        <v>43346</v>
      </c>
      <c r="M75" s="13">
        <v>0</v>
      </c>
      <c r="N75" s="8" t="s">
        <v>28</v>
      </c>
      <c r="O75" s="18" t="s">
        <v>29</v>
      </c>
      <c r="P75" s="8">
        <v>1</v>
      </c>
      <c r="Q75" s="8">
        <v>21</v>
      </c>
      <c r="R75" s="8">
        <v>0</v>
      </c>
      <c r="S75" s="8">
        <v>1</v>
      </c>
      <c r="T75" s="8"/>
      <c r="U75" s="8"/>
      <c r="V75" s="8" t="s">
        <v>30</v>
      </c>
      <c r="W75" s="8"/>
    </row>
    <row r="76" spans="1:23" x14ac:dyDescent="0.35">
      <c r="A76" s="18" t="s">
        <v>95</v>
      </c>
      <c r="B76" s="18" t="s">
        <v>345</v>
      </c>
      <c r="C76" s="16" t="s">
        <v>492</v>
      </c>
      <c r="D76" s="18" t="s">
        <v>23</v>
      </c>
      <c r="E76" s="9">
        <v>45831</v>
      </c>
      <c r="F76" s="9"/>
      <c r="G76" s="26" t="s">
        <v>25</v>
      </c>
      <c r="H76" s="25" t="s">
        <v>26</v>
      </c>
      <c r="I76" s="25" t="s">
        <v>27</v>
      </c>
      <c r="J76" s="15" t="s">
        <v>390</v>
      </c>
      <c r="K76" s="8">
        <v>33800</v>
      </c>
      <c r="L76" s="13">
        <v>33800</v>
      </c>
      <c r="M76" s="13">
        <v>0</v>
      </c>
      <c r="N76" s="8" t="s">
        <v>28</v>
      </c>
      <c r="O76" s="18" t="s">
        <v>29</v>
      </c>
      <c r="P76" s="8">
        <v>1</v>
      </c>
      <c r="Q76" s="8">
        <v>20</v>
      </c>
      <c r="R76" s="8">
        <v>0</v>
      </c>
      <c r="S76" s="8">
        <v>2</v>
      </c>
      <c r="T76" s="8"/>
      <c r="U76" s="8"/>
      <c r="V76" s="8" t="s">
        <v>30</v>
      </c>
      <c r="W76" s="8"/>
    </row>
    <row r="77" spans="1:23" x14ac:dyDescent="0.35">
      <c r="A77" s="18" t="s">
        <v>95</v>
      </c>
      <c r="B77" s="18" t="s">
        <v>341</v>
      </c>
      <c r="C77" s="16" t="s">
        <v>493</v>
      </c>
      <c r="D77" s="18" t="s">
        <v>23</v>
      </c>
      <c r="E77" s="9">
        <v>46051</v>
      </c>
      <c r="F77" s="9"/>
      <c r="G77" s="26" t="s">
        <v>334</v>
      </c>
      <c r="H77" s="25" t="s">
        <v>26</v>
      </c>
      <c r="I77" s="25" t="s">
        <v>27</v>
      </c>
      <c r="J77" s="15" t="s">
        <v>394</v>
      </c>
      <c r="K77" s="8">
        <v>34500</v>
      </c>
      <c r="L77" s="13">
        <v>34500</v>
      </c>
      <c r="M77" s="13">
        <v>0</v>
      </c>
      <c r="N77" s="8" t="s">
        <v>28</v>
      </c>
      <c r="O77" s="18" t="s">
        <v>29</v>
      </c>
      <c r="P77" s="8">
        <v>0</v>
      </c>
      <c r="Q77" s="8">
        <v>17</v>
      </c>
      <c r="R77" s="8">
        <v>0</v>
      </c>
      <c r="S77" s="8">
        <v>0</v>
      </c>
      <c r="T77" s="8"/>
      <c r="U77" s="8"/>
      <c r="V77" s="8" t="s">
        <v>30</v>
      </c>
      <c r="W77" s="17" t="s">
        <v>334</v>
      </c>
    </row>
    <row r="78" spans="1:23" x14ac:dyDescent="0.35">
      <c r="A78" s="18" t="s">
        <v>95</v>
      </c>
      <c r="B78" s="18" t="s">
        <v>160</v>
      </c>
      <c r="C78" s="16" t="s">
        <v>494</v>
      </c>
      <c r="D78" s="18" t="s">
        <v>23</v>
      </c>
      <c r="E78" s="9" t="s">
        <v>161</v>
      </c>
      <c r="F78" s="9"/>
      <c r="G78" s="26" t="s">
        <v>25</v>
      </c>
      <c r="H78" s="25" t="s">
        <v>26</v>
      </c>
      <c r="I78" s="25" t="s">
        <v>27</v>
      </c>
      <c r="J78" s="15" t="s">
        <v>362</v>
      </c>
      <c r="K78" s="8">
        <v>45570</v>
      </c>
      <c r="L78" s="13">
        <v>45570</v>
      </c>
      <c r="M78" s="13">
        <v>0</v>
      </c>
      <c r="N78" s="8" t="s">
        <v>28</v>
      </c>
      <c r="O78" s="18" t="s">
        <v>29</v>
      </c>
      <c r="P78" s="8">
        <v>1</v>
      </c>
      <c r="Q78" s="8">
        <v>22</v>
      </c>
      <c r="R78" s="8">
        <v>0</v>
      </c>
      <c r="S78" s="8">
        <v>0</v>
      </c>
      <c r="T78" s="8"/>
      <c r="U78" s="8"/>
      <c r="V78" s="8" t="s">
        <v>30</v>
      </c>
      <c r="W78" s="8"/>
    </row>
    <row r="79" spans="1:23" x14ac:dyDescent="0.35">
      <c r="A79" s="18" t="s">
        <v>95</v>
      </c>
      <c r="B79" s="18" t="s">
        <v>162</v>
      </c>
      <c r="C79" s="16" t="s">
        <v>495</v>
      </c>
      <c r="D79" s="18" t="s">
        <v>23</v>
      </c>
      <c r="E79" s="9" t="s">
        <v>163</v>
      </c>
      <c r="F79" s="9"/>
      <c r="G79" s="26" t="s">
        <v>25</v>
      </c>
      <c r="H79" s="25" t="s">
        <v>26</v>
      </c>
      <c r="I79" s="25" t="s">
        <v>27</v>
      </c>
      <c r="J79" s="15" t="s">
        <v>356</v>
      </c>
      <c r="K79" s="8">
        <v>31570</v>
      </c>
      <c r="L79" s="13">
        <v>31570</v>
      </c>
      <c r="M79" s="13">
        <v>0</v>
      </c>
      <c r="N79" s="8" t="s">
        <v>28</v>
      </c>
      <c r="O79" s="18" t="s">
        <v>29</v>
      </c>
      <c r="P79" s="8">
        <v>1</v>
      </c>
      <c r="Q79" s="8">
        <v>21</v>
      </c>
      <c r="R79" s="8">
        <v>0</v>
      </c>
      <c r="S79" s="8">
        <v>1</v>
      </c>
      <c r="T79" s="8"/>
      <c r="U79" s="8"/>
      <c r="V79" s="8" t="s">
        <v>30</v>
      </c>
      <c r="W79" s="8"/>
    </row>
    <row r="80" spans="1:23" x14ac:dyDescent="0.35">
      <c r="A80" s="18" t="s">
        <v>95</v>
      </c>
      <c r="B80" s="18" t="s">
        <v>164</v>
      </c>
      <c r="C80" s="16" t="s">
        <v>496</v>
      </c>
      <c r="D80" s="18" t="s">
        <v>23</v>
      </c>
      <c r="E80" s="9" t="s">
        <v>165</v>
      </c>
      <c r="F80" s="9"/>
      <c r="G80" s="26" t="s">
        <v>25</v>
      </c>
      <c r="H80" s="25" t="s">
        <v>26</v>
      </c>
      <c r="I80" s="25" t="s">
        <v>27</v>
      </c>
      <c r="J80" s="15" t="s">
        <v>375</v>
      </c>
      <c r="K80" s="8">
        <v>31298</v>
      </c>
      <c r="L80" s="13">
        <v>31298</v>
      </c>
      <c r="M80" s="13">
        <v>0</v>
      </c>
      <c r="N80" s="8" t="s">
        <v>28</v>
      </c>
      <c r="O80" s="18" t="s">
        <v>29</v>
      </c>
      <c r="P80" s="8">
        <v>1</v>
      </c>
      <c r="Q80" s="8">
        <v>22</v>
      </c>
      <c r="R80" s="8">
        <v>0</v>
      </c>
      <c r="S80" s="8">
        <v>0</v>
      </c>
      <c r="T80" s="8"/>
      <c r="U80" s="8"/>
      <c r="V80" s="8" t="s">
        <v>30</v>
      </c>
      <c r="W80" s="8"/>
    </row>
    <row r="81" spans="1:23" x14ac:dyDescent="0.35">
      <c r="A81" s="18" t="s">
        <v>95</v>
      </c>
      <c r="B81" s="18" t="s">
        <v>166</v>
      </c>
      <c r="C81" s="16" t="s">
        <v>497</v>
      </c>
      <c r="D81" s="18" t="s">
        <v>23</v>
      </c>
      <c r="E81" s="9" t="s">
        <v>144</v>
      </c>
      <c r="F81" s="9"/>
      <c r="G81" s="26" t="s">
        <v>25</v>
      </c>
      <c r="H81" s="25" t="s">
        <v>26</v>
      </c>
      <c r="I81" s="25" t="s">
        <v>27</v>
      </c>
      <c r="J81" s="15" t="s">
        <v>368</v>
      </c>
      <c r="K81" s="8">
        <v>46570</v>
      </c>
      <c r="L81" s="13">
        <v>46570</v>
      </c>
      <c r="M81" s="13">
        <v>0</v>
      </c>
      <c r="N81" s="8" t="s">
        <v>28</v>
      </c>
      <c r="O81" s="18" t="s">
        <v>29</v>
      </c>
      <c r="P81" s="8">
        <v>1</v>
      </c>
      <c r="Q81" s="8">
        <v>22</v>
      </c>
      <c r="R81" s="8">
        <v>0</v>
      </c>
      <c r="S81" s="8">
        <v>0</v>
      </c>
      <c r="T81" s="8"/>
      <c r="U81" s="8"/>
      <c r="V81" s="8" t="s">
        <v>30</v>
      </c>
      <c r="W81" s="8"/>
    </row>
    <row r="82" spans="1:23" x14ac:dyDescent="0.35">
      <c r="A82" s="18" t="s">
        <v>95</v>
      </c>
      <c r="B82" s="18" t="s">
        <v>167</v>
      </c>
      <c r="C82" s="16" t="s">
        <v>498</v>
      </c>
      <c r="D82" s="18" t="s">
        <v>23</v>
      </c>
      <c r="E82" s="9" t="s">
        <v>168</v>
      </c>
      <c r="F82" s="9"/>
      <c r="G82" s="26" t="s">
        <v>25</v>
      </c>
      <c r="H82" s="25" t="s">
        <v>26</v>
      </c>
      <c r="I82" s="25" t="s">
        <v>27</v>
      </c>
      <c r="J82" s="15" t="s">
        <v>376</v>
      </c>
      <c r="K82" s="8">
        <v>28600</v>
      </c>
      <c r="L82" s="13">
        <v>28600</v>
      </c>
      <c r="M82" s="13">
        <v>0</v>
      </c>
      <c r="N82" s="8" t="s">
        <v>28</v>
      </c>
      <c r="O82" s="18" t="s">
        <v>29</v>
      </c>
      <c r="P82" s="8">
        <v>1</v>
      </c>
      <c r="Q82" s="8">
        <v>21</v>
      </c>
      <c r="R82" s="8">
        <v>0</v>
      </c>
      <c r="S82" s="8">
        <v>1</v>
      </c>
      <c r="T82" s="8"/>
      <c r="U82" s="8"/>
      <c r="V82" s="8" t="s">
        <v>30</v>
      </c>
      <c r="W82" s="8"/>
    </row>
    <row r="83" spans="1:23" x14ac:dyDescent="0.35">
      <c r="A83" s="18" t="s">
        <v>95</v>
      </c>
      <c r="B83" s="18" t="s">
        <v>169</v>
      </c>
      <c r="C83" s="16" t="s">
        <v>500</v>
      </c>
      <c r="D83" s="18" t="s">
        <v>23</v>
      </c>
      <c r="E83" s="9" t="s">
        <v>170</v>
      </c>
      <c r="F83" s="9"/>
      <c r="G83" s="26" t="s">
        <v>25</v>
      </c>
      <c r="H83" s="25" t="s">
        <v>26</v>
      </c>
      <c r="I83" s="25" t="s">
        <v>27</v>
      </c>
      <c r="J83" s="15" t="s">
        <v>347</v>
      </c>
      <c r="K83" s="8">
        <v>32099</v>
      </c>
      <c r="L83" s="13">
        <v>32099</v>
      </c>
      <c r="M83" s="13">
        <v>0</v>
      </c>
      <c r="N83" s="8" t="s">
        <v>28</v>
      </c>
      <c r="O83" s="18" t="s">
        <v>29</v>
      </c>
      <c r="P83" s="8">
        <v>1</v>
      </c>
      <c r="Q83" s="8">
        <v>22</v>
      </c>
      <c r="R83" s="8">
        <v>0</v>
      </c>
      <c r="S83" s="8">
        <v>0</v>
      </c>
      <c r="T83" s="8"/>
      <c r="U83" s="8"/>
      <c r="V83" s="8" t="s">
        <v>30</v>
      </c>
      <c r="W83" s="8"/>
    </row>
    <row r="84" spans="1:23" x14ac:dyDescent="0.35">
      <c r="A84" s="18" t="s">
        <v>95</v>
      </c>
      <c r="B84" s="18" t="s">
        <v>171</v>
      </c>
      <c r="C84" s="14" t="s">
        <v>416</v>
      </c>
      <c r="D84" s="18" t="s">
        <v>32</v>
      </c>
      <c r="E84" s="9" t="s">
        <v>172</v>
      </c>
      <c r="F84" s="9"/>
      <c r="G84" s="26" t="s">
        <v>25</v>
      </c>
      <c r="H84" s="25" t="s">
        <v>26</v>
      </c>
      <c r="I84" s="25" t="s">
        <v>27</v>
      </c>
      <c r="J84" s="15" t="s">
        <v>377</v>
      </c>
      <c r="K84" s="8">
        <v>39530</v>
      </c>
      <c r="L84" s="13">
        <v>39530</v>
      </c>
      <c r="M84" s="13">
        <v>0</v>
      </c>
      <c r="N84" s="8" t="s">
        <v>28</v>
      </c>
      <c r="O84" s="18" t="s">
        <v>29</v>
      </c>
      <c r="P84" s="8">
        <v>1</v>
      </c>
      <c r="Q84" s="8">
        <v>21</v>
      </c>
      <c r="R84" s="8">
        <v>0</v>
      </c>
      <c r="S84" s="8">
        <v>1</v>
      </c>
      <c r="T84" s="8"/>
      <c r="U84" s="8"/>
      <c r="V84" s="8" t="s">
        <v>30</v>
      </c>
      <c r="W84" s="8"/>
    </row>
    <row r="85" spans="1:23" x14ac:dyDescent="0.35">
      <c r="A85" s="18" t="s">
        <v>95</v>
      </c>
      <c r="B85" s="18" t="s">
        <v>173</v>
      </c>
      <c r="C85" s="16" t="s">
        <v>501</v>
      </c>
      <c r="D85" s="18" t="s">
        <v>23</v>
      </c>
      <c r="E85" s="9" t="s">
        <v>174</v>
      </c>
      <c r="F85" s="9"/>
      <c r="G85" s="26" t="s">
        <v>25</v>
      </c>
      <c r="H85" s="25" t="s">
        <v>26</v>
      </c>
      <c r="I85" s="25" t="s">
        <v>27</v>
      </c>
      <c r="J85" s="15" t="s">
        <v>378</v>
      </c>
      <c r="K85" s="8">
        <v>47187</v>
      </c>
      <c r="L85" s="13">
        <v>47187</v>
      </c>
      <c r="M85" s="13">
        <v>0</v>
      </c>
      <c r="N85" s="8" t="s">
        <v>28</v>
      </c>
      <c r="O85" s="18" t="s">
        <v>29</v>
      </c>
      <c r="P85" s="8">
        <v>1</v>
      </c>
      <c r="Q85" s="8">
        <v>22</v>
      </c>
      <c r="R85" s="8">
        <v>0</v>
      </c>
      <c r="S85" s="8">
        <v>0</v>
      </c>
      <c r="T85" s="8"/>
      <c r="U85" s="8"/>
      <c r="V85" s="8" t="s">
        <v>30</v>
      </c>
      <c r="W85" s="8"/>
    </row>
    <row r="86" spans="1:23" x14ac:dyDescent="0.35">
      <c r="A86" s="18" t="s">
        <v>95</v>
      </c>
      <c r="B86" s="18" t="s">
        <v>175</v>
      </c>
      <c r="C86" s="16" t="s">
        <v>502</v>
      </c>
      <c r="D86" s="18" t="s">
        <v>23</v>
      </c>
      <c r="E86" s="9" t="s">
        <v>176</v>
      </c>
      <c r="F86" s="9"/>
      <c r="G86" s="26" t="s">
        <v>25</v>
      </c>
      <c r="H86" s="25" t="s">
        <v>26</v>
      </c>
      <c r="I86" s="25" t="s">
        <v>27</v>
      </c>
      <c r="J86" s="15" t="s">
        <v>379</v>
      </c>
      <c r="K86" s="8">
        <v>39100</v>
      </c>
      <c r="L86" s="13">
        <v>39100</v>
      </c>
      <c r="M86" s="13">
        <v>0</v>
      </c>
      <c r="N86" s="8" t="s">
        <v>28</v>
      </c>
      <c r="O86" s="18" t="s">
        <v>29</v>
      </c>
      <c r="P86" s="8">
        <v>1</v>
      </c>
      <c r="Q86" s="8">
        <v>21</v>
      </c>
      <c r="R86" s="8">
        <v>0</v>
      </c>
      <c r="S86" s="8">
        <v>1</v>
      </c>
      <c r="T86" s="8"/>
      <c r="U86" s="8"/>
      <c r="V86" s="8" t="s">
        <v>30</v>
      </c>
      <c r="W86" s="8"/>
    </row>
    <row r="87" spans="1:23" x14ac:dyDescent="0.35">
      <c r="A87" s="18" t="s">
        <v>95</v>
      </c>
      <c r="B87" s="18" t="s">
        <v>177</v>
      </c>
      <c r="C87" s="16" t="s">
        <v>503</v>
      </c>
      <c r="D87" s="18" t="s">
        <v>23</v>
      </c>
      <c r="E87" s="9" t="s">
        <v>178</v>
      </c>
      <c r="F87" s="9"/>
      <c r="G87" s="26" t="s">
        <v>25</v>
      </c>
      <c r="H87" s="25" t="s">
        <v>26</v>
      </c>
      <c r="I87" s="25" t="s">
        <v>27</v>
      </c>
      <c r="J87" s="15" t="s">
        <v>380</v>
      </c>
      <c r="K87" s="8">
        <v>30570</v>
      </c>
      <c r="L87" s="13">
        <v>30570</v>
      </c>
      <c r="M87" s="13">
        <v>0</v>
      </c>
      <c r="N87" s="8" t="s">
        <v>28</v>
      </c>
      <c r="O87" s="18" t="s">
        <v>29</v>
      </c>
      <c r="P87" s="8">
        <v>1</v>
      </c>
      <c r="Q87" s="8">
        <v>21</v>
      </c>
      <c r="R87" s="8">
        <v>0</v>
      </c>
      <c r="S87" s="8">
        <v>1</v>
      </c>
      <c r="T87" s="8"/>
      <c r="U87" s="8"/>
      <c r="V87" s="8" t="s">
        <v>30</v>
      </c>
      <c r="W87" s="8"/>
    </row>
    <row r="88" spans="1:23" x14ac:dyDescent="0.35">
      <c r="A88" s="18" t="s">
        <v>95</v>
      </c>
      <c r="B88" s="18" t="s">
        <v>594</v>
      </c>
      <c r="C88" s="14" t="s">
        <v>427</v>
      </c>
      <c r="D88" s="18" t="s">
        <v>23</v>
      </c>
      <c r="E88" s="9" t="s">
        <v>179</v>
      </c>
      <c r="F88" s="9"/>
      <c r="G88" s="26" t="s">
        <v>25</v>
      </c>
      <c r="H88" s="25" t="s">
        <v>26</v>
      </c>
      <c r="I88" s="25" t="s">
        <v>27</v>
      </c>
      <c r="J88" s="15" t="s">
        <v>374</v>
      </c>
      <c r="K88" s="8">
        <v>25100</v>
      </c>
      <c r="L88" s="13">
        <v>25100</v>
      </c>
      <c r="M88" s="13">
        <v>0</v>
      </c>
      <c r="N88" s="8" t="s">
        <v>28</v>
      </c>
      <c r="O88" s="18" t="s">
        <v>29</v>
      </c>
      <c r="P88" s="8">
        <v>1</v>
      </c>
      <c r="Q88" s="8">
        <v>16</v>
      </c>
      <c r="R88" s="8">
        <v>0</v>
      </c>
      <c r="S88" s="8">
        <v>6</v>
      </c>
      <c r="T88" s="8"/>
      <c r="U88" s="8"/>
      <c r="V88" s="8" t="s">
        <v>30</v>
      </c>
      <c r="W88" s="8"/>
    </row>
    <row r="89" spans="1:23" x14ac:dyDescent="0.35">
      <c r="A89" s="18" t="s">
        <v>95</v>
      </c>
      <c r="B89" s="18" t="s">
        <v>180</v>
      </c>
      <c r="C89" s="16" t="s">
        <v>504</v>
      </c>
      <c r="D89" s="18" t="s">
        <v>23</v>
      </c>
      <c r="E89" s="9" t="s">
        <v>99</v>
      </c>
      <c r="F89" s="9"/>
      <c r="G89" s="26" t="s">
        <v>25</v>
      </c>
      <c r="H89" s="25" t="s">
        <v>26</v>
      </c>
      <c r="I89" s="25" t="s">
        <v>27</v>
      </c>
      <c r="J89" s="15" t="s">
        <v>381</v>
      </c>
      <c r="K89" s="8">
        <v>137520</v>
      </c>
      <c r="L89" s="13">
        <v>137520</v>
      </c>
      <c r="M89" s="13">
        <v>0</v>
      </c>
      <c r="N89" s="8" t="s">
        <v>28</v>
      </c>
      <c r="O89" s="18" t="s">
        <v>29</v>
      </c>
      <c r="P89" s="8">
        <v>1</v>
      </c>
      <c r="Q89" s="8">
        <v>22</v>
      </c>
      <c r="R89" s="8">
        <v>0</v>
      </c>
      <c r="S89" s="8"/>
      <c r="T89" s="8"/>
      <c r="U89" s="8"/>
      <c r="V89" s="8" t="s">
        <v>30</v>
      </c>
      <c r="W89" s="8"/>
    </row>
    <row r="90" spans="1:23" x14ac:dyDescent="0.35">
      <c r="A90" s="18" t="s">
        <v>95</v>
      </c>
      <c r="B90" s="18" t="s">
        <v>597</v>
      </c>
      <c r="C90" s="16" t="s">
        <v>505</v>
      </c>
      <c r="D90" s="18" t="s">
        <v>23</v>
      </c>
      <c r="E90" s="9">
        <v>46055</v>
      </c>
      <c r="F90" s="9"/>
      <c r="G90" s="26" t="s">
        <v>334</v>
      </c>
      <c r="H90" s="25" t="s">
        <v>26</v>
      </c>
      <c r="I90" s="25" t="s">
        <v>27</v>
      </c>
      <c r="J90" s="15" t="s">
        <v>352</v>
      </c>
      <c r="K90" s="8">
        <v>44117</v>
      </c>
      <c r="L90" s="13">
        <v>44117</v>
      </c>
      <c r="M90" s="13">
        <v>0</v>
      </c>
      <c r="N90" s="8" t="s">
        <v>28</v>
      </c>
      <c r="O90" s="18" t="s">
        <v>29</v>
      </c>
      <c r="P90" s="8">
        <v>0</v>
      </c>
      <c r="Q90" s="8">
        <v>14</v>
      </c>
      <c r="R90" s="8">
        <v>0</v>
      </c>
      <c r="S90" s="8">
        <v>1</v>
      </c>
      <c r="T90" s="8"/>
      <c r="U90" s="8"/>
      <c r="V90" s="8" t="s">
        <v>30</v>
      </c>
      <c r="W90" s="17" t="s">
        <v>334</v>
      </c>
    </row>
    <row r="91" spans="1:23" x14ac:dyDescent="0.35">
      <c r="A91" s="18" t="s">
        <v>95</v>
      </c>
      <c r="B91" s="18" t="s">
        <v>181</v>
      </c>
      <c r="C91" s="16" t="s">
        <v>506</v>
      </c>
      <c r="D91" s="18" t="s">
        <v>23</v>
      </c>
      <c r="E91" s="9" t="s">
        <v>182</v>
      </c>
      <c r="F91" s="9"/>
      <c r="G91" s="26" t="s">
        <v>25</v>
      </c>
      <c r="H91" s="25" t="s">
        <v>26</v>
      </c>
      <c r="I91" s="25" t="s">
        <v>27</v>
      </c>
      <c r="J91" s="15" t="s">
        <v>363</v>
      </c>
      <c r="K91" s="8">
        <v>28800</v>
      </c>
      <c r="L91" s="13">
        <v>28800</v>
      </c>
      <c r="M91" s="13">
        <v>0</v>
      </c>
      <c r="N91" s="8" t="s">
        <v>28</v>
      </c>
      <c r="O91" s="18" t="s">
        <v>29</v>
      </c>
      <c r="P91" s="8">
        <v>1</v>
      </c>
      <c r="Q91" s="8">
        <v>22</v>
      </c>
      <c r="R91" s="8">
        <v>0</v>
      </c>
      <c r="S91" s="8">
        <v>0</v>
      </c>
      <c r="T91" s="8"/>
      <c r="U91" s="8"/>
      <c r="V91" s="8" t="s">
        <v>30</v>
      </c>
      <c r="W91" s="8"/>
    </row>
    <row r="92" spans="1:23" x14ac:dyDescent="0.35">
      <c r="A92" s="18" t="s">
        <v>95</v>
      </c>
      <c r="B92" s="18" t="s">
        <v>183</v>
      </c>
      <c r="C92" s="14" t="s">
        <v>428</v>
      </c>
      <c r="D92" s="18" t="s">
        <v>23</v>
      </c>
      <c r="E92" s="9" t="s">
        <v>184</v>
      </c>
      <c r="F92" s="9"/>
      <c r="G92" s="26" t="s">
        <v>25</v>
      </c>
      <c r="H92" s="25" t="s">
        <v>26</v>
      </c>
      <c r="I92" s="25" t="s">
        <v>27</v>
      </c>
      <c r="J92" s="15" t="s">
        <v>382</v>
      </c>
      <c r="K92" s="8">
        <v>75000</v>
      </c>
      <c r="L92" s="13">
        <v>75000</v>
      </c>
      <c r="M92" s="13">
        <v>0</v>
      </c>
      <c r="N92" s="8" t="s">
        <v>28</v>
      </c>
      <c r="O92" s="18" t="s">
        <v>29</v>
      </c>
      <c r="P92" s="8">
        <v>1</v>
      </c>
      <c r="Q92" s="8">
        <v>21</v>
      </c>
      <c r="R92" s="8">
        <v>0</v>
      </c>
      <c r="S92" s="8">
        <v>1</v>
      </c>
      <c r="T92" s="8"/>
      <c r="U92" s="8"/>
      <c r="V92" s="8" t="s">
        <v>30</v>
      </c>
      <c r="W92" s="8"/>
    </row>
    <row r="93" spans="1:23" x14ac:dyDescent="0.35">
      <c r="A93" s="18" t="s">
        <v>95</v>
      </c>
      <c r="B93" s="18" t="s">
        <v>185</v>
      </c>
      <c r="C93" s="16" t="s">
        <v>507</v>
      </c>
      <c r="D93" s="18" t="s">
        <v>23</v>
      </c>
      <c r="E93" s="9" t="s">
        <v>123</v>
      </c>
      <c r="F93" s="9"/>
      <c r="G93" s="26" t="s">
        <v>25</v>
      </c>
      <c r="H93" s="25" t="s">
        <v>26</v>
      </c>
      <c r="I93" s="25" t="s">
        <v>27</v>
      </c>
      <c r="J93" s="15" t="s">
        <v>373</v>
      </c>
      <c r="K93" s="8">
        <v>43313</v>
      </c>
      <c r="L93" s="13">
        <v>43313</v>
      </c>
      <c r="M93" s="13">
        <v>0</v>
      </c>
      <c r="N93" s="8" t="s">
        <v>28</v>
      </c>
      <c r="O93" s="18" t="s">
        <v>29</v>
      </c>
      <c r="P93" s="8">
        <v>1</v>
      </c>
      <c r="Q93" s="8">
        <v>17</v>
      </c>
      <c r="R93" s="8">
        <v>0</v>
      </c>
      <c r="S93" s="8">
        <v>5</v>
      </c>
      <c r="T93" s="8"/>
      <c r="U93" s="8"/>
      <c r="V93" s="8" t="s">
        <v>30</v>
      </c>
      <c r="W93" s="8"/>
    </row>
    <row r="94" spans="1:23" x14ac:dyDescent="0.35">
      <c r="A94" s="18" t="s">
        <v>95</v>
      </c>
      <c r="B94" s="18" t="s">
        <v>186</v>
      </c>
      <c r="C94" s="16" t="s">
        <v>508</v>
      </c>
      <c r="D94" s="18" t="s">
        <v>23</v>
      </c>
      <c r="E94" s="9" t="s">
        <v>187</v>
      </c>
      <c r="F94" s="9">
        <v>46064</v>
      </c>
      <c r="G94" s="26" t="s">
        <v>25</v>
      </c>
      <c r="H94" s="25" t="s">
        <v>26</v>
      </c>
      <c r="I94" s="25" t="s">
        <v>27</v>
      </c>
      <c r="J94" s="15" t="s">
        <v>383</v>
      </c>
      <c r="K94" s="8">
        <v>28608</v>
      </c>
      <c r="L94" s="13">
        <v>28608</v>
      </c>
      <c r="M94" s="13">
        <v>0</v>
      </c>
      <c r="N94" s="8" t="s">
        <v>28</v>
      </c>
      <c r="O94" s="18" t="s">
        <v>29</v>
      </c>
      <c r="P94" s="8">
        <v>1</v>
      </c>
      <c r="Q94" s="8">
        <v>15</v>
      </c>
      <c r="R94" s="8">
        <v>0</v>
      </c>
      <c r="S94" s="8"/>
      <c r="T94" s="8"/>
      <c r="U94" s="8"/>
      <c r="V94" s="8" t="s">
        <v>30</v>
      </c>
      <c r="W94" s="8" t="s">
        <v>613</v>
      </c>
    </row>
    <row r="95" spans="1:23" x14ac:dyDescent="0.35">
      <c r="A95" s="18" t="s">
        <v>95</v>
      </c>
      <c r="B95" s="18" t="s">
        <v>188</v>
      </c>
      <c r="C95" s="16" t="s">
        <v>509</v>
      </c>
      <c r="D95" s="18" t="s">
        <v>23</v>
      </c>
      <c r="E95" s="9" t="s">
        <v>189</v>
      </c>
      <c r="F95" s="9"/>
      <c r="G95" s="26" t="s">
        <v>25</v>
      </c>
      <c r="H95" s="25" t="s">
        <v>26</v>
      </c>
      <c r="I95" s="25" t="s">
        <v>27</v>
      </c>
      <c r="J95" s="15" t="s">
        <v>384</v>
      </c>
      <c r="K95" s="8">
        <v>83334</v>
      </c>
      <c r="L95" s="13">
        <v>83334</v>
      </c>
      <c r="M95" s="13">
        <v>0</v>
      </c>
      <c r="N95" s="8" t="s">
        <v>28</v>
      </c>
      <c r="O95" s="18" t="s">
        <v>29</v>
      </c>
      <c r="P95" s="8">
        <v>1</v>
      </c>
      <c r="Q95" s="8">
        <v>21</v>
      </c>
      <c r="R95" s="8">
        <v>0</v>
      </c>
      <c r="S95" s="8">
        <v>1</v>
      </c>
      <c r="T95" s="8"/>
      <c r="U95" s="8"/>
      <c r="V95" s="8" t="s">
        <v>30</v>
      </c>
      <c r="W95" s="8"/>
    </row>
    <row r="96" spans="1:23" x14ac:dyDescent="0.35">
      <c r="A96" s="18" t="s">
        <v>95</v>
      </c>
      <c r="B96" s="18" t="s">
        <v>190</v>
      </c>
      <c r="C96" s="16" t="s">
        <v>510</v>
      </c>
      <c r="D96" s="18" t="s">
        <v>23</v>
      </c>
      <c r="E96" s="9" t="s">
        <v>191</v>
      </c>
      <c r="F96" s="9"/>
      <c r="G96" s="26" t="s">
        <v>25</v>
      </c>
      <c r="H96" s="25" t="s">
        <v>26</v>
      </c>
      <c r="I96" s="25" t="s">
        <v>27</v>
      </c>
      <c r="J96" s="15" t="s">
        <v>95</v>
      </c>
      <c r="K96" s="8">
        <v>28800</v>
      </c>
      <c r="L96" s="13">
        <v>28800</v>
      </c>
      <c r="M96" s="13">
        <v>0</v>
      </c>
      <c r="N96" s="8" t="s">
        <v>28</v>
      </c>
      <c r="O96" s="18" t="s">
        <v>29</v>
      </c>
      <c r="P96" s="8">
        <v>1</v>
      </c>
      <c r="Q96" s="8">
        <v>22</v>
      </c>
      <c r="R96" s="8">
        <v>0</v>
      </c>
      <c r="S96" s="8"/>
      <c r="T96" s="8"/>
      <c r="U96" s="8"/>
      <c r="V96" s="8" t="s">
        <v>30</v>
      </c>
      <c r="W96" s="36" t="s">
        <v>614</v>
      </c>
    </row>
    <row r="97" spans="1:23" x14ac:dyDescent="0.35">
      <c r="A97" s="18" t="s">
        <v>95</v>
      </c>
      <c r="B97" s="18" t="s">
        <v>192</v>
      </c>
      <c r="C97" s="16" t="s">
        <v>511</v>
      </c>
      <c r="D97" s="18" t="s">
        <v>23</v>
      </c>
      <c r="E97" s="9" t="s">
        <v>193</v>
      </c>
      <c r="F97" s="9"/>
      <c r="G97" s="26" t="s">
        <v>25</v>
      </c>
      <c r="H97" s="25" t="s">
        <v>26</v>
      </c>
      <c r="I97" s="25" t="s">
        <v>27</v>
      </c>
      <c r="J97" s="15" t="s">
        <v>385</v>
      </c>
      <c r="K97" s="8">
        <v>26441</v>
      </c>
      <c r="L97" s="13">
        <v>26441</v>
      </c>
      <c r="M97" s="13">
        <v>0</v>
      </c>
      <c r="N97" s="8" t="s">
        <v>28</v>
      </c>
      <c r="O97" s="18" t="s">
        <v>29</v>
      </c>
      <c r="P97" s="8">
        <v>1</v>
      </c>
      <c r="Q97" s="8">
        <v>20</v>
      </c>
      <c r="R97" s="8">
        <v>0</v>
      </c>
      <c r="S97" s="8">
        <v>2</v>
      </c>
      <c r="T97" s="8">
        <v>8483</v>
      </c>
      <c r="U97" s="8"/>
      <c r="V97" s="8" t="s">
        <v>30</v>
      </c>
      <c r="W97" s="8" t="s">
        <v>615</v>
      </c>
    </row>
    <row r="98" spans="1:23" x14ac:dyDescent="0.35">
      <c r="A98" s="18" t="s">
        <v>95</v>
      </c>
      <c r="B98" s="18" t="s">
        <v>194</v>
      </c>
      <c r="C98" s="16" t="s">
        <v>512</v>
      </c>
      <c r="D98" s="18" t="s">
        <v>23</v>
      </c>
      <c r="E98" s="9" t="s">
        <v>195</v>
      </c>
      <c r="F98" s="9"/>
      <c r="G98" s="26" t="s">
        <v>25</v>
      </c>
      <c r="H98" s="25" t="s">
        <v>26</v>
      </c>
      <c r="I98" s="25" t="s">
        <v>27</v>
      </c>
      <c r="J98" s="15" t="s">
        <v>386</v>
      </c>
      <c r="K98" s="8">
        <v>22890</v>
      </c>
      <c r="L98" s="13">
        <v>22890</v>
      </c>
      <c r="M98" s="13">
        <v>0</v>
      </c>
      <c r="N98" s="8" t="s">
        <v>28</v>
      </c>
      <c r="O98" s="18" t="s">
        <v>29</v>
      </c>
      <c r="P98" s="8">
        <v>1</v>
      </c>
      <c r="Q98" s="8">
        <v>22</v>
      </c>
      <c r="R98" s="8">
        <v>0</v>
      </c>
      <c r="S98" s="8"/>
      <c r="T98" s="8">
        <v>4171</v>
      </c>
      <c r="U98" s="8"/>
      <c r="V98" s="8" t="s">
        <v>30</v>
      </c>
      <c r="W98" s="8"/>
    </row>
    <row r="99" spans="1:23" x14ac:dyDescent="0.35">
      <c r="A99" s="18" t="s">
        <v>95</v>
      </c>
      <c r="B99" s="18" t="s">
        <v>196</v>
      </c>
      <c r="C99" s="16" t="s">
        <v>513</v>
      </c>
      <c r="D99" s="18" t="s">
        <v>23</v>
      </c>
      <c r="E99" s="9" t="s">
        <v>197</v>
      </c>
      <c r="F99" s="9"/>
      <c r="G99" s="26" t="s">
        <v>25</v>
      </c>
      <c r="H99" s="25" t="s">
        <v>26</v>
      </c>
      <c r="I99" s="25" t="s">
        <v>27</v>
      </c>
      <c r="J99" s="15" t="s">
        <v>387</v>
      </c>
      <c r="K99" s="8">
        <v>35800</v>
      </c>
      <c r="L99" s="13">
        <v>35800</v>
      </c>
      <c r="M99" s="13">
        <v>0</v>
      </c>
      <c r="N99" s="8" t="s">
        <v>28</v>
      </c>
      <c r="O99" s="18" t="s">
        <v>29</v>
      </c>
      <c r="P99" s="8">
        <v>1</v>
      </c>
      <c r="Q99" s="8">
        <v>21</v>
      </c>
      <c r="R99" s="8">
        <v>0</v>
      </c>
      <c r="S99" s="8">
        <v>1</v>
      </c>
      <c r="T99" s="8"/>
      <c r="U99" s="8"/>
      <c r="V99" s="8" t="s">
        <v>30</v>
      </c>
      <c r="W99" s="8"/>
    </row>
    <row r="100" spans="1:23" x14ac:dyDescent="0.35">
      <c r="A100" s="18" t="s">
        <v>95</v>
      </c>
      <c r="B100" s="18" t="s">
        <v>595</v>
      </c>
      <c r="C100" s="16" t="s">
        <v>514</v>
      </c>
      <c r="D100" s="18" t="s">
        <v>23</v>
      </c>
      <c r="E100" s="9">
        <v>46045</v>
      </c>
      <c r="F100" s="9"/>
      <c r="G100" s="26" t="s">
        <v>334</v>
      </c>
      <c r="H100" s="25" t="s">
        <v>26</v>
      </c>
      <c r="I100" s="25" t="s">
        <v>257</v>
      </c>
      <c r="J100" s="15" t="s">
        <v>369</v>
      </c>
      <c r="K100" s="8">
        <v>87500</v>
      </c>
      <c r="L100" s="13">
        <v>87500</v>
      </c>
      <c r="M100" s="13">
        <v>0</v>
      </c>
      <c r="N100" s="8" t="s">
        <v>28</v>
      </c>
      <c r="O100" s="18" t="s">
        <v>29</v>
      </c>
      <c r="P100" s="8">
        <v>1</v>
      </c>
      <c r="Q100" s="8">
        <v>20</v>
      </c>
      <c r="R100" s="8">
        <v>0</v>
      </c>
      <c r="S100" s="8">
        <v>0</v>
      </c>
      <c r="T100" s="8"/>
      <c r="U100" s="8"/>
      <c r="V100" s="8" t="s">
        <v>30</v>
      </c>
      <c r="W100" s="17" t="s">
        <v>334</v>
      </c>
    </row>
    <row r="101" spans="1:23" x14ac:dyDescent="0.35">
      <c r="A101" s="18" t="s">
        <v>95</v>
      </c>
      <c r="B101" s="18" t="s">
        <v>198</v>
      </c>
      <c r="C101" s="16" t="s">
        <v>515</v>
      </c>
      <c r="D101" s="18" t="s">
        <v>23</v>
      </c>
      <c r="E101" s="9" t="s">
        <v>199</v>
      </c>
      <c r="F101" s="9"/>
      <c r="G101" s="26" t="s">
        <v>25</v>
      </c>
      <c r="H101" s="25" t="s">
        <v>26</v>
      </c>
      <c r="I101" s="25" t="s">
        <v>27</v>
      </c>
      <c r="J101" s="15" t="s">
        <v>388</v>
      </c>
      <c r="K101" s="8">
        <v>112500</v>
      </c>
      <c r="L101" s="13">
        <v>112500</v>
      </c>
      <c r="M101" s="13">
        <v>0</v>
      </c>
      <c r="N101" s="8" t="s">
        <v>28</v>
      </c>
      <c r="O101" s="18" t="s">
        <v>29</v>
      </c>
      <c r="P101" s="8">
        <v>1</v>
      </c>
      <c r="Q101" s="8">
        <v>20</v>
      </c>
      <c r="R101" s="8">
        <v>0</v>
      </c>
      <c r="S101" s="8">
        <v>2</v>
      </c>
      <c r="T101" s="8"/>
      <c r="U101" s="8"/>
      <c r="V101" s="8" t="s">
        <v>30</v>
      </c>
      <c r="W101" s="8"/>
    </row>
    <row r="102" spans="1:23" x14ac:dyDescent="0.35">
      <c r="A102" s="18" t="s">
        <v>95</v>
      </c>
      <c r="B102" s="18" t="s">
        <v>200</v>
      </c>
      <c r="C102" s="14" t="s">
        <v>429</v>
      </c>
      <c r="D102" s="18" t="s">
        <v>23</v>
      </c>
      <c r="E102" s="9" t="s">
        <v>201</v>
      </c>
      <c r="F102" s="9"/>
      <c r="G102" s="26" t="s">
        <v>25</v>
      </c>
      <c r="H102" s="25" t="s">
        <v>26</v>
      </c>
      <c r="I102" s="25" t="s">
        <v>27</v>
      </c>
      <c r="J102" s="15" t="s">
        <v>389</v>
      </c>
      <c r="K102" s="8">
        <v>137500</v>
      </c>
      <c r="L102" s="13">
        <v>137500</v>
      </c>
      <c r="M102" s="13">
        <v>0</v>
      </c>
      <c r="N102" s="8" t="s">
        <v>28</v>
      </c>
      <c r="O102" s="18" t="s">
        <v>29</v>
      </c>
      <c r="P102" s="8">
        <v>1</v>
      </c>
      <c r="Q102" s="8">
        <v>12</v>
      </c>
      <c r="R102" s="8">
        <v>0</v>
      </c>
      <c r="S102" s="8">
        <v>10</v>
      </c>
      <c r="T102" s="8"/>
      <c r="U102" s="8"/>
      <c r="V102" s="8" t="s">
        <v>30</v>
      </c>
      <c r="W102" s="8"/>
    </row>
    <row r="103" spans="1:23" x14ac:dyDescent="0.35">
      <c r="A103" s="18" t="s">
        <v>95</v>
      </c>
      <c r="B103" s="27" t="s">
        <v>338</v>
      </c>
      <c r="C103" s="16" t="s">
        <v>516</v>
      </c>
      <c r="D103" s="18" t="s">
        <v>23</v>
      </c>
      <c r="E103" s="9">
        <v>46030</v>
      </c>
      <c r="F103" s="9"/>
      <c r="G103" s="26" t="s">
        <v>25</v>
      </c>
      <c r="H103" s="25" t="s">
        <v>26</v>
      </c>
      <c r="I103" s="25" t="s">
        <v>27</v>
      </c>
      <c r="J103" s="15" t="s">
        <v>391</v>
      </c>
      <c r="K103" s="8">
        <v>54763</v>
      </c>
      <c r="L103" s="13">
        <v>25100</v>
      </c>
      <c r="M103" s="13">
        <v>29663</v>
      </c>
      <c r="N103" s="8" t="s">
        <v>28</v>
      </c>
      <c r="O103" s="18" t="s">
        <v>29</v>
      </c>
      <c r="P103" s="8">
        <v>1</v>
      </c>
      <c r="Q103" s="8">
        <v>22</v>
      </c>
      <c r="R103" s="8">
        <v>0</v>
      </c>
      <c r="S103" s="8">
        <v>0</v>
      </c>
      <c r="T103" s="8"/>
      <c r="U103" s="8"/>
      <c r="V103" s="8" t="s">
        <v>30</v>
      </c>
      <c r="W103" s="36" t="s">
        <v>614</v>
      </c>
    </row>
    <row r="104" spans="1:23" x14ac:dyDescent="0.35">
      <c r="A104" s="18" t="s">
        <v>202</v>
      </c>
      <c r="B104" s="16" t="s">
        <v>411</v>
      </c>
      <c r="C104" s="16" t="s">
        <v>518</v>
      </c>
      <c r="D104" s="18" t="s">
        <v>23</v>
      </c>
      <c r="E104" s="9" t="s">
        <v>204</v>
      </c>
      <c r="F104" s="9"/>
      <c r="G104" s="26" t="s">
        <v>25</v>
      </c>
      <c r="H104" s="25" t="s">
        <v>26</v>
      </c>
      <c r="I104" s="26"/>
      <c r="J104" s="17"/>
      <c r="K104" s="19">
        <v>25100</v>
      </c>
      <c r="L104" s="13">
        <v>25025</v>
      </c>
      <c r="M104" s="13">
        <f t="shared" ref="M104:M128" si="3">K104-L104</f>
        <v>75</v>
      </c>
      <c r="N104" s="19" t="s">
        <v>90</v>
      </c>
      <c r="O104" s="20" t="s">
        <v>203</v>
      </c>
      <c r="P104" s="8">
        <v>2</v>
      </c>
      <c r="Q104" s="8">
        <v>25</v>
      </c>
      <c r="R104" s="8" t="s">
        <v>94</v>
      </c>
      <c r="S104" s="8" t="s">
        <v>94</v>
      </c>
      <c r="T104" s="8">
        <v>349</v>
      </c>
      <c r="U104" s="8"/>
      <c r="V104" s="8" t="s">
        <v>30</v>
      </c>
      <c r="W104" s="8"/>
    </row>
    <row r="105" spans="1:23" x14ac:dyDescent="0.35">
      <c r="A105" s="18" t="s">
        <v>202</v>
      </c>
      <c r="B105" s="16" t="s">
        <v>205</v>
      </c>
      <c r="C105" s="16" t="s">
        <v>521</v>
      </c>
      <c r="D105" s="18" t="s">
        <v>23</v>
      </c>
      <c r="E105" s="9" t="s">
        <v>204</v>
      </c>
      <c r="F105" s="9"/>
      <c r="G105" s="26" t="s">
        <v>25</v>
      </c>
      <c r="H105" s="25" t="s">
        <v>26</v>
      </c>
      <c r="I105" s="26"/>
      <c r="J105" s="17"/>
      <c r="K105" s="19">
        <v>22599</v>
      </c>
      <c r="L105" s="13">
        <v>22531</v>
      </c>
      <c r="M105" s="13">
        <f t="shared" si="3"/>
        <v>68</v>
      </c>
      <c r="N105" s="19" t="s">
        <v>90</v>
      </c>
      <c r="O105" s="20" t="s">
        <v>203</v>
      </c>
      <c r="P105" s="8">
        <v>2</v>
      </c>
      <c r="Q105" s="8">
        <v>25</v>
      </c>
      <c r="R105" s="8" t="s">
        <v>94</v>
      </c>
      <c r="S105" s="8" t="s">
        <v>94</v>
      </c>
      <c r="T105" s="8"/>
      <c r="U105" s="8"/>
      <c r="V105" s="8" t="s">
        <v>30</v>
      </c>
      <c r="W105" s="8"/>
    </row>
    <row r="106" spans="1:23" x14ac:dyDescent="0.35">
      <c r="A106" s="18" t="s">
        <v>202</v>
      </c>
      <c r="B106" s="16" t="s">
        <v>415</v>
      </c>
      <c r="C106" s="16" t="s">
        <v>524</v>
      </c>
      <c r="D106" s="18" t="s">
        <v>23</v>
      </c>
      <c r="E106" s="9" t="s">
        <v>204</v>
      </c>
      <c r="F106" s="9"/>
      <c r="G106" s="26" t="s">
        <v>25</v>
      </c>
      <c r="H106" s="25" t="s">
        <v>26</v>
      </c>
      <c r="I106" s="26"/>
      <c r="J106" s="17"/>
      <c r="K106" s="19">
        <v>20432</v>
      </c>
      <c r="L106" s="13">
        <v>20363</v>
      </c>
      <c r="M106" s="13">
        <f t="shared" si="3"/>
        <v>69</v>
      </c>
      <c r="N106" s="19" t="s">
        <v>90</v>
      </c>
      <c r="O106" s="20" t="s">
        <v>203</v>
      </c>
      <c r="P106" s="8">
        <v>2</v>
      </c>
      <c r="Q106" s="8">
        <v>25</v>
      </c>
      <c r="R106" s="8" t="s">
        <v>94</v>
      </c>
      <c r="S106" s="8" t="s">
        <v>94</v>
      </c>
      <c r="T106" s="8"/>
      <c r="U106" s="8"/>
      <c r="V106" s="8" t="s">
        <v>30</v>
      </c>
      <c r="W106" s="8"/>
    </row>
    <row r="107" spans="1:23" x14ac:dyDescent="0.35">
      <c r="A107" s="18" t="s">
        <v>202</v>
      </c>
      <c r="B107" s="16" t="s">
        <v>412</v>
      </c>
      <c r="C107" s="16" t="s">
        <v>519</v>
      </c>
      <c r="D107" s="18" t="s">
        <v>23</v>
      </c>
      <c r="E107" s="9" t="s">
        <v>204</v>
      </c>
      <c r="F107" s="9"/>
      <c r="G107" s="26" t="s">
        <v>25</v>
      </c>
      <c r="H107" s="25" t="s">
        <v>26</v>
      </c>
      <c r="I107" s="26"/>
      <c r="J107" s="17"/>
      <c r="K107" s="19">
        <v>20432</v>
      </c>
      <c r="L107" s="13">
        <v>20363</v>
      </c>
      <c r="M107" s="13">
        <f t="shared" si="3"/>
        <v>69</v>
      </c>
      <c r="N107" s="19" t="s">
        <v>90</v>
      </c>
      <c r="O107" s="20" t="s">
        <v>203</v>
      </c>
      <c r="P107" s="8">
        <v>2</v>
      </c>
      <c r="Q107" s="8">
        <v>25</v>
      </c>
      <c r="R107" s="8" t="s">
        <v>94</v>
      </c>
      <c r="S107" s="8" t="s">
        <v>94</v>
      </c>
      <c r="T107" s="8" t="s">
        <v>94</v>
      </c>
      <c r="U107" s="8"/>
      <c r="V107" s="8" t="s">
        <v>30</v>
      </c>
      <c r="W107" s="8"/>
    </row>
    <row r="108" spans="1:23" x14ac:dyDescent="0.35">
      <c r="A108" s="18" t="s">
        <v>202</v>
      </c>
      <c r="B108" s="16" t="s">
        <v>414</v>
      </c>
      <c r="C108" s="16" t="s">
        <v>522</v>
      </c>
      <c r="D108" s="18" t="s">
        <v>23</v>
      </c>
      <c r="E108" s="9" t="s">
        <v>204</v>
      </c>
      <c r="F108" s="9"/>
      <c r="G108" s="26" t="s">
        <v>25</v>
      </c>
      <c r="H108" s="25" t="s">
        <v>26</v>
      </c>
      <c r="I108" s="26"/>
      <c r="J108" s="17"/>
      <c r="K108" s="19">
        <v>22084</v>
      </c>
      <c r="L108" s="13">
        <v>22015</v>
      </c>
      <c r="M108" s="13">
        <f t="shared" si="3"/>
        <v>69</v>
      </c>
      <c r="N108" s="19" t="s">
        <v>90</v>
      </c>
      <c r="O108" s="20" t="s">
        <v>203</v>
      </c>
      <c r="P108" s="8">
        <v>2</v>
      </c>
      <c r="Q108" s="8">
        <v>25</v>
      </c>
      <c r="R108" s="8" t="s">
        <v>94</v>
      </c>
      <c r="S108" s="8" t="s">
        <v>94</v>
      </c>
      <c r="T108" s="8">
        <v>860</v>
      </c>
      <c r="U108" s="8"/>
      <c r="V108" s="8" t="s">
        <v>30</v>
      </c>
      <c r="W108" s="8"/>
    </row>
    <row r="109" spans="1:23" x14ac:dyDescent="0.35">
      <c r="A109" s="18" t="s">
        <v>202</v>
      </c>
      <c r="B109" s="16" t="s">
        <v>206</v>
      </c>
      <c r="C109" s="16" t="s">
        <v>523</v>
      </c>
      <c r="D109" s="18" t="s">
        <v>23</v>
      </c>
      <c r="E109" s="9" t="s">
        <v>204</v>
      </c>
      <c r="F109" s="9"/>
      <c r="G109" s="26" t="s">
        <v>25</v>
      </c>
      <c r="H109" s="25" t="s">
        <v>26</v>
      </c>
      <c r="I109" s="26"/>
      <c r="J109" s="17"/>
      <c r="K109" s="19">
        <v>23117</v>
      </c>
      <c r="L109" s="13">
        <v>23117</v>
      </c>
      <c r="M109" s="13">
        <f t="shared" si="3"/>
        <v>0</v>
      </c>
      <c r="N109" s="19" t="s">
        <v>90</v>
      </c>
      <c r="O109" s="20" t="s">
        <v>203</v>
      </c>
      <c r="P109" s="8">
        <v>2</v>
      </c>
      <c r="Q109" s="8">
        <v>25</v>
      </c>
      <c r="R109" s="8" t="s">
        <v>94</v>
      </c>
      <c r="S109" s="8" t="s">
        <v>94</v>
      </c>
      <c r="T109" s="8">
        <v>349</v>
      </c>
      <c r="U109" s="8"/>
      <c r="V109" s="8" t="s">
        <v>30</v>
      </c>
      <c r="W109" s="8"/>
    </row>
    <row r="110" spans="1:23" x14ac:dyDescent="0.35">
      <c r="A110" s="18" t="s">
        <v>202</v>
      </c>
      <c r="B110" s="16" t="s">
        <v>413</v>
      </c>
      <c r="C110" s="16" t="s">
        <v>520</v>
      </c>
      <c r="D110" s="18" t="s">
        <v>23</v>
      </c>
      <c r="E110" s="9" t="s">
        <v>204</v>
      </c>
      <c r="F110" s="9"/>
      <c r="G110" s="26" t="s">
        <v>25</v>
      </c>
      <c r="H110" s="25" t="s">
        <v>26</v>
      </c>
      <c r="I110" s="26"/>
      <c r="J110" s="17"/>
      <c r="K110" s="19">
        <v>20432</v>
      </c>
      <c r="L110" s="13">
        <v>19950</v>
      </c>
      <c r="M110" s="13">
        <f t="shared" si="3"/>
        <v>482</v>
      </c>
      <c r="N110" s="19" t="s">
        <v>90</v>
      </c>
      <c r="O110" s="20" t="s">
        <v>203</v>
      </c>
      <c r="P110" s="8">
        <v>2</v>
      </c>
      <c r="Q110" s="8">
        <v>22</v>
      </c>
      <c r="R110" s="8">
        <v>3</v>
      </c>
      <c r="S110" s="8">
        <v>2</v>
      </c>
      <c r="T110" s="8"/>
      <c r="U110" s="8"/>
      <c r="V110" s="8" t="s">
        <v>30</v>
      </c>
      <c r="W110" s="8"/>
    </row>
    <row r="111" spans="1:23" x14ac:dyDescent="0.35">
      <c r="A111" s="18" t="s">
        <v>202</v>
      </c>
      <c r="B111" s="16" t="s">
        <v>410</v>
      </c>
      <c r="C111" s="16" t="s">
        <v>517</v>
      </c>
      <c r="D111" s="18" t="s">
        <v>23</v>
      </c>
      <c r="E111" s="9" t="s">
        <v>89</v>
      </c>
      <c r="F111" s="9"/>
      <c r="G111" s="26" t="s">
        <v>25</v>
      </c>
      <c r="H111" s="25" t="s">
        <v>26</v>
      </c>
      <c r="I111" s="26"/>
      <c r="J111" s="17"/>
      <c r="K111" s="19">
        <v>19428</v>
      </c>
      <c r="L111" s="13">
        <v>19428</v>
      </c>
      <c r="M111" s="13">
        <f t="shared" si="3"/>
        <v>0</v>
      </c>
      <c r="N111" s="19" t="s">
        <v>90</v>
      </c>
      <c r="O111" s="20" t="s">
        <v>203</v>
      </c>
      <c r="P111" s="8">
        <v>1</v>
      </c>
      <c r="Q111" s="8">
        <v>22</v>
      </c>
      <c r="R111" s="8">
        <v>1</v>
      </c>
      <c r="S111" s="8">
        <v>1</v>
      </c>
      <c r="T111" s="8" t="s">
        <v>94</v>
      </c>
      <c r="U111" s="8"/>
      <c r="V111" s="8" t="s">
        <v>30</v>
      </c>
      <c r="W111" s="8"/>
    </row>
    <row r="112" spans="1:23" x14ac:dyDescent="0.35">
      <c r="A112" s="18" t="s">
        <v>591</v>
      </c>
      <c r="B112" s="18" t="s">
        <v>214</v>
      </c>
      <c r="C112" s="16" t="s">
        <v>601</v>
      </c>
      <c r="D112" s="18" t="s">
        <v>23</v>
      </c>
      <c r="E112" s="9" t="s">
        <v>215</v>
      </c>
      <c r="F112" s="9"/>
      <c r="G112" s="26" t="s">
        <v>25</v>
      </c>
      <c r="H112" s="25" t="s">
        <v>208</v>
      </c>
      <c r="I112" s="25" t="s">
        <v>27</v>
      </c>
      <c r="J112" s="15"/>
      <c r="K112" s="8">
        <v>28600</v>
      </c>
      <c r="L112" s="13">
        <v>28600</v>
      </c>
      <c r="M112" s="13">
        <f t="shared" si="3"/>
        <v>0</v>
      </c>
      <c r="N112" s="19" t="s">
        <v>90</v>
      </c>
      <c r="O112" s="20" t="s">
        <v>29</v>
      </c>
      <c r="P112" s="8">
        <v>1</v>
      </c>
      <c r="Q112" s="8">
        <v>19</v>
      </c>
      <c r="R112" s="8">
        <v>0</v>
      </c>
      <c r="S112" s="8">
        <v>0</v>
      </c>
      <c r="T112" s="8">
        <v>0</v>
      </c>
      <c r="U112" s="8">
        <v>0</v>
      </c>
      <c r="V112" s="8" t="s">
        <v>30</v>
      </c>
      <c r="W112" s="8"/>
    </row>
    <row r="113" spans="1:23" x14ac:dyDescent="0.35">
      <c r="A113" s="18" t="s">
        <v>591</v>
      </c>
      <c r="B113" s="18" t="s">
        <v>209</v>
      </c>
      <c r="C113" s="16" t="s">
        <v>526</v>
      </c>
      <c r="D113" s="18" t="s">
        <v>23</v>
      </c>
      <c r="E113" s="9" t="s">
        <v>210</v>
      </c>
      <c r="F113" s="9"/>
      <c r="G113" s="26" t="s">
        <v>25</v>
      </c>
      <c r="H113" s="25" t="s">
        <v>208</v>
      </c>
      <c r="I113" s="25" t="s">
        <v>257</v>
      </c>
      <c r="J113" s="15"/>
      <c r="K113" s="8">
        <v>33600</v>
      </c>
      <c r="L113" s="13">
        <v>33600</v>
      </c>
      <c r="M113" s="13">
        <f t="shared" si="3"/>
        <v>0</v>
      </c>
      <c r="N113" s="19" t="s">
        <v>90</v>
      </c>
      <c r="O113" s="20" t="s">
        <v>29</v>
      </c>
      <c r="P113" s="8">
        <v>1</v>
      </c>
      <c r="Q113" s="8">
        <v>19</v>
      </c>
      <c r="R113" s="8">
        <v>0</v>
      </c>
      <c r="S113" s="8">
        <v>0</v>
      </c>
      <c r="T113" s="8">
        <v>0</v>
      </c>
      <c r="U113" s="8">
        <v>0</v>
      </c>
      <c r="V113" s="8" t="s">
        <v>30</v>
      </c>
      <c r="W113" s="8"/>
    </row>
    <row r="114" spans="1:23" x14ac:dyDescent="0.35">
      <c r="A114" s="18" t="s">
        <v>591</v>
      </c>
      <c r="B114" s="18" t="s">
        <v>213</v>
      </c>
      <c r="C114" s="16" t="s">
        <v>529</v>
      </c>
      <c r="D114" s="18" t="s">
        <v>23</v>
      </c>
      <c r="E114" s="9" t="s">
        <v>210</v>
      </c>
      <c r="F114" s="9"/>
      <c r="G114" s="26" t="s">
        <v>25</v>
      </c>
      <c r="H114" s="25" t="s">
        <v>208</v>
      </c>
      <c r="I114" s="25" t="s">
        <v>257</v>
      </c>
      <c r="J114" s="15"/>
      <c r="K114" s="8">
        <v>33600</v>
      </c>
      <c r="L114" s="13">
        <v>33600</v>
      </c>
      <c r="M114" s="13">
        <f t="shared" si="3"/>
        <v>0</v>
      </c>
      <c r="N114" s="19" t="s">
        <v>90</v>
      </c>
      <c r="O114" s="20" t="s">
        <v>29</v>
      </c>
      <c r="P114" s="8">
        <v>1</v>
      </c>
      <c r="Q114" s="8">
        <v>19</v>
      </c>
      <c r="R114" s="8">
        <v>0</v>
      </c>
      <c r="S114" s="8">
        <v>0</v>
      </c>
      <c r="T114" s="8">
        <v>0</v>
      </c>
      <c r="U114" s="8">
        <v>0</v>
      </c>
      <c r="V114" s="8" t="s">
        <v>30</v>
      </c>
      <c r="W114" s="8"/>
    </row>
    <row r="115" spans="1:23" x14ac:dyDescent="0.35">
      <c r="A115" s="18" t="s">
        <v>591</v>
      </c>
      <c r="B115" s="18" t="s">
        <v>207</v>
      </c>
      <c r="C115" s="16" t="s">
        <v>525</v>
      </c>
      <c r="D115" s="18" t="s">
        <v>23</v>
      </c>
      <c r="E115" s="9" t="s">
        <v>115</v>
      </c>
      <c r="F115" s="9"/>
      <c r="G115" s="26" t="s">
        <v>25</v>
      </c>
      <c r="H115" s="25" t="s">
        <v>208</v>
      </c>
      <c r="I115" s="25" t="s">
        <v>27</v>
      </c>
      <c r="J115" s="15"/>
      <c r="K115" s="8">
        <v>30000</v>
      </c>
      <c r="L115" s="13">
        <v>30000</v>
      </c>
      <c r="M115" s="13">
        <f t="shared" si="3"/>
        <v>0</v>
      </c>
      <c r="N115" s="19" t="s">
        <v>90</v>
      </c>
      <c r="O115" s="20" t="s">
        <v>29</v>
      </c>
      <c r="P115" s="8">
        <v>1</v>
      </c>
      <c r="Q115" s="8">
        <v>19</v>
      </c>
      <c r="R115" s="8">
        <v>0</v>
      </c>
      <c r="S115" s="8">
        <v>0</v>
      </c>
      <c r="T115" s="8">
        <v>0</v>
      </c>
      <c r="U115" s="8">
        <v>0</v>
      </c>
      <c r="V115" s="8" t="s">
        <v>30</v>
      </c>
      <c r="W115" s="8"/>
    </row>
    <row r="116" spans="1:23" x14ac:dyDescent="0.35">
      <c r="A116" s="18" t="s">
        <v>591</v>
      </c>
      <c r="B116" s="18" t="s">
        <v>212</v>
      </c>
      <c r="C116" s="16" t="s">
        <v>528</v>
      </c>
      <c r="D116" s="18" t="s">
        <v>23</v>
      </c>
      <c r="E116" s="9" t="s">
        <v>74</v>
      </c>
      <c r="F116" s="9"/>
      <c r="G116" s="26" t="s">
        <v>25</v>
      </c>
      <c r="H116" s="25" t="s">
        <v>208</v>
      </c>
      <c r="I116" s="25" t="s">
        <v>27</v>
      </c>
      <c r="J116" s="15"/>
      <c r="K116" s="8">
        <v>37500</v>
      </c>
      <c r="L116" s="13">
        <v>37500</v>
      </c>
      <c r="M116" s="13">
        <f t="shared" si="3"/>
        <v>0</v>
      </c>
      <c r="N116" s="19" t="s">
        <v>90</v>
      </c>
      <c r="O116" s="20" t="s">
        <v>29</v>
      </c>
      <c r="P116" s="8">
        <v>1</v>
      </c>
      <c r="Q116" s="8">
        <v>19</v>
      </c>
      <c r="R116" s="8">
        <v>0</v>
      </c>
      <c r="S116" s="8">
        <v>0</v>
      </c>
      <c r="T116" s="8">
        <v>0</v>
      </c>
      <c r="U116" s="8">
        <v>0</v>
      </c>
      <c r="V116" s="8" t="s">
        <v>30</v>
      </c>
      <c r="W116" s="8"/>
    </row>
    <row r="117" spans="1:23" x14ac:dyDescent="0.35">
      <c r="A117" s="18" t="s">
        <v>616</v>
      </c>
      <c r="B117" s="18" t="s">
        <v>211</v>
      </c>
      <c r="C117" s="16" t="s">
        <v>527</v>
      </c>
      <c r="D117" s="18" t="s">
        <v>23</v>
      </c>
      <c r="E117" s="9" t="s">
        <v>74</v>
      </c>
      <c r="F117" s="9"/>
      <c r="G117" s="26" t="s">
        <v>25</v>
      </c>
      <c r="H117" s="25" t="s">
        <v>208</v>
      </c>
      <c r="I117" s="25"/>
      <c r="J117" s="15"/>
      <c r="K117" s="8">
        <v>25000</v>
      </c>
      <c r="L117" s="13">
        <v>25000</v>
      </c>
      <c r="M117" s="13">
        <f t="shared" si="3"/>
        <v>0</v>
      </c>
      <c r="N117" s="19" t="s">
        <v>90</v>
      </c>
      <c r="O117" s="20" t="s">
        <v>29</v>
      </c>
      <c r="P117" s="8">
        <v>1</v>
      </c>
      <c r="Q117" s="8">
        <v>15.5</v>
      </c>
      <c r="R117" s="8">
        <v>3.5</v>
      </c>
      <c r="S117" s="8">
        <v>2</v>
      </c>
      <c r="T117" s="8">
        <v>0</v>
      </c>
      <c r="U117" s="8">
        <v>0</v>
      </c>
      <c r="V117" s="8" t="s">
        <v>30</v>
      </c>
      <c r="W117" s="8"/>
    </row>
    <row r="118" spans="1:23" x14ac:dyDescent="0.35">
      <c r="A118" s="18" t="s">
        <v>616</v>
      </c>
      <c r="B118" s="28" t="s">
        <v>602</v>
      </c>
      <c r="C118" s="16" t="s">
        <v>603</v>
      </c>
      <c r="D118" s="18" t="s">
        <v>23</v>
      </c>
      <c r="E118" s="9">
        <v>45817</v>
      </c>
      <c r="F118" s="9"/>
      <c r="G118" s="26" t="s">
        <v>25</v>
      </c>
      <c r="H118" s="25" t="s">
        <v>208</v>
      </c>
      <c r="I118" s="25"/>
      <c r="J118" s="15"/>
      <c r="K118" s="8">
        <v>28600</v>
      </c>
      <c r="L118" s="13">
        <v>28600</v>
      </c>
      <c r="M118" s="13">
        <f t="shared" si="3"/>
        <v>0</v>
      </c>
      <c r="N118" s="19" t="s">
        <v>90</v>
      </c>
      <c r="O118" s="20" t="s">
        <v>29</v>
      </c>
      <c r="P118" s="8">
        <v>1</v>
      </c>
      <c r="Q118" s="8">
        <v>19</v>
      </c>
      <c r="R118" s="8">
        <v>0</v>
      </c>
      <c r="S118" s="8">
        <v>0</v>
      </c>
      <c r="T118" s="8">
        <v>0</v>
      </c>
      <c r="U118" s="8">
        <v>0</v>
      </c>
      <c r="V118" s="8" t="s">
        <v>30</v>
      </c>
      <c r="W118" s="8"/>
    </row>
    <row r="119" spans="1:23" x14ac:dyDescent="0.35">
      <c r="A119" s="18" t="s">
        <v>216</v>
      </c>
      <c r="B119" s="21" t="s">
        <v>590</v>
      </c>
      <c r="C119" s="14" t="s">
        <v>425</v>
      </c>
      <c r="D119" s="18" t="s">
        <v>23</v>
      </c>
      <c r="E119" s="9" t="s">
        <v>217</v>
      </c>
      <c r="F119" s="9"/>
      <c r="G119" s="26" t="s">
        <v>25</v>
      </c>
      <c r="H119" s="25" t="s">
        <v>218</v>
      </c>
      <c r="I119" s="25"/>
      <c r="J119" s="15"/>
      <c r="K119" s="8">
        <v>108333</v>
      </c>
      <c r="L119" s="13">
        <v>108333</v>
      </c>
      <c r="M119" s="13">
        <f t="shared" si="3"/>
        <v>0</v>
      </c>
      <c r="N119" s="19" t="s">
        <v>90</v>
      </c>
      <c r="O119" s="20" t="s">
        <v>29</v>
      </c>
      <c r="P119" s="8">
        <v>3</v>
      </c>
      <c r="Q119" s="8">
        <v>16</v>
      </c>
      <c r="R119" s="8">
        <v>3</v>
      </c>
      <c r="S119" s="8">
        <v>3</v>
      </c>
      <c r="T119" s="8" t="s">
        <v>94</v>
      </c>
      <c r="U119" s="8"/>
      <c r="V119" s="8" t="s">
        <v>30</v>
      </c>
      <c r="W119" s="8"/>
    </row>
    <row r="120" spans="1:23" x14ac:dyDescent="0.35">
      <c r="A120" s="18" t="s">
        <v>592</v>
      </c>
      <c r="B120" s="18" t="s">
        <v>219</v>
      </c>
      <c r="C120" s="16" t="s">
        <v>530</v>
      </c>
      <c r="D120" s="18" t="s">
        <v>23</v>
      </c>
      <c r="E120" s="9" t="s">
        <v>220</v>
      </c>
      <c r="F120" s="9"/>
      <c r="G120" s="26" t="s">
        <v>25</v>
      </c>
      <c r="H120" s="25" t="s">
        <v>218</v>
      </c>
      <c r="I120" s="26" t="s">
        <v>27</v>
      </c>
      <c r="J120" s="17"/>
      <c r="K120" s="19">
        <v>43333</v>
      </c>
      <c r="L120" s="13">
        <v>43333</v>
      </c>
      <c r="M120" s="13">
        <f t="shared" si="3"/>
        <v>0</v>
      </c>
      <c r="N120" s="19" t="s">
        <v>90</v>
      </c>
      <c r="O120" s="20" t="s">
        <v>29</v>
      </c>
      <c r="P120" s="8">
        <v>2</v>
      </c>
      <c r="Q120" s="8">
        <v>20</v>
      </c>
      <c r="R120" s="8"/>
      <c r="S120" s="8"/>
      <c r="T120" s="8" t="s">
        <v>94</v>
      </c>
      <c r="U120" s="8"/>
      <c r="V120" s="8" t="s">
        <v>30</v>
      </c>
      <c r="W120" s="8"/>
    </row>
    <row r="121" spans="1:23" x14ac:dyDescent="0.35">
      <c r="A121" s="18" t="s">
        <v>221</v>
      </c>
      <c r="B121" s="18" t="s">
        <v>222</v>
      </c>
      <c r="C121" s="16" t="s">
        <v>531</v>
      </c>
      <c r="D121" s="18" t="s">
        <v>23</v>
      </c>
      <c r="E121" s="9" t="s">
        <v>223</v>
      </c>
      <c r="F121" s="9"/>
      <c r="G121" s="26" t="s">
        <v>25</v>
      </c>
      <c r="H121" s="26" t="s">
        <v>224</v>
      </c>
      <c r="I121" s="26"/>
      <c r="J121" s="17"/>
      <c r="K121" s="8">
        <v>62500</v>
      </c>
      <c r="L121" s="13">
        <v>62500</v>
      </c>
      <c r="M121" s="13">
        <f>K121-L121</f>
        <v>0</v>
      </c>
      <c r="N121" s="8" t="s">
        <v>225</v>
      </c>
      <c r="O121" s="20" t="s">
        <v>29</v>
      </c>
      <c r="P121" s="8">
        <v>1</v>
      </c>
      <c r="Q121" s="8">
        <v>22</v>
      </c>
      <c r="R121" s="8">
        <v>0</v>
      </c>
      <c r="S121" s="8">
        <v>0</v>
      </c>
      <c r="T121" s="8">
        <v>0</v>
      </c>
      <c r="U121" s="8">
        <v>0</v>
      </c>
      <c r="V121" s="8" t="s">
        <v>30</v>
      </c>
      <c r="W121" s="8"/>
    </row>
    <row r="122" spans="1:23" x14ac:dyDescent="0.35">
      <c r="A122" s="18" t="s">
        <v>221</v>
      </c>
      <c r="B122" s="18" t="s">
        <v>226</v>
      </c>
      <c r="C122" s="16" t="s">
        <v>532</v>
      </c>
      <c r="D122" s="18" t="s">
        <v>23</v>
      </c>
      <c r="E122" s="9" t="s">
        <v>227</v>
      </c>
      <c r="F122" s="9"/>
      <c r="G122" s="26" t="s">
        <v>25</v>
      </c>
      <c r="H122" s="26" t="s">
        <v>224</v>
      </c>
      <c r="I122" s="26"/>
      <c r="J122" s="17"/>
      <c r="K122" s="8">
        <v>77000</v>
      </c>
      <c r="L122" s="13">
        <v>77000</v>
      </c>
      <c r="M122" s="13">
        <f>K122-L122</f>
        <v>0</v>
      </c>
      <c r="N122" s="8" t="s">
        <v>225</v>
      </c>
      <c r="O122" s="20" t="s">
        <v>29</v>
      </c>
      <c r="P122" s="8">
        <v>1</v>
      </c>
      <c r="Q122" s="8">
        <v>22</v>
      </c>
      <c r="R122" s="8">
        <v>0</v>
      </c>
      <c r="S122" s="8">
        <v>0</v>
      </c>
      <c r="T122" s="8">
        <v>0</v>
      </c>
      <c r="U122" s="8">
        <v>0</v>
      </c>
      <c r="V122" s="8" t="s">
        <v>30</v>
      </c>
      <c r="W122" s="8"/>
    </row>
    <row r="123" spans="1:23" x14ac:dyDescent="0.35">
      <c r="A123" s="18" t="s">
        <v>221</v>
      </c>
      <c r="B123" s="18" t="s">
        <v>228</v>
      </c>
      <c r="C123" s="16" t="s">
        <v>533</v>
      </c>
      <c r="D123" s="18" t="s">
        <v>23</v>
      </c>
      <c r="E123" s="9" t="s">
        <v>229</v>
      </c>
      <c r="F123" s="9"/>
      <c r="G123" s="26" t="s">
        <v>25</v>
      </c>
      <c r="H123" s="26" t="s">
        <v>224</v>
      </c>
      <c r="I123" s="26"/>
      <c r="J123" s="17"/>
      <c r="K123" s="8">
        <v>35340</v>
      </c>
      <c r="L123" s="13">
        <v>35340</v>
      </c>
      <c r="M123" s="13">
        <f>K123-L123</f>
        <v>0</v>
      </c>
      <c r="N123" s="8" t="s">
        <v>225</v>
      </c>
      <c r="O123" s="20" t="s">
        <v>29</v>
      </c>
      <c r="P123" s="8">
        <v>1</v>
      </c>
      <c r="Q123" s="8">
        <v>21</v>
      </c>
      <c r="R123" s="8">
        <v>1</v>
      </c>
      <c r="S123" s="8">
        <v>1</v>
      </c>
      <c r="T123" s="8">
        <v>0</v>
      </c>
      <c r="U123" s="8">
        <v>0</v>
      </c>
      <c r="V123" s="8" t="s">
        <v>30</v>
      </c>
      <c r="W123" s="8"/>
    </row>
    <row r="124" spans="1:23" x14ac:dyDescent="0.35">
      <c r="A124" s="18" t="s">
        <v>221</v>
      </c>
      <c r="B124" s="18" t="s">
        <v>230</v>
      </c>
      <c r="C124" s="16" t="s">
        <v>534</v>
      </c>
      <c r="D124" s="18" t="s">
        <v>23</v>
      </c>
      <c r="E124" s="9" t="s">
        <v>231</v>
      </c>
      <c r="F124" s="9"/>
      <c r="G124" s="26" t="s">
        <v>25</v>
      </c>
      <c r="H124" s="26" t="s">
        <v>224</v>
      </c>
      <c r="I124" s="26"/>
      <c r="J124" s="17"/>
      <c r="K124" s="8">
        <v>35000</v>
      </c>
      <c r="L124" s="13">
        <v>35000</v>
      </c>
      <c r="M124" s="13">
        <f>K124-L124</f>
        <v>0</v>
      </c>
      <c r="N124" s="8" t="s">
        <v>225</v>
      </c>
      <c r="O124" s="20" t="s">
        <v>29</v>
      </c>
      <c r="P124" s="8">
        <v>1</v>
      </c>
      <c r="Q124" s="8">
        <v>21</v>
      </c>
      <c r="R124" s="8">
        <v>1</v>
      </c>
      <c r="S124" s="8">
        <v>1</v>
      </c>
      <c r="T124" s="8">
        <v>0</v>
      </c>
      <c r="U124" s="8">
        <v>0</v>
      </c>
      <c r="V124" s="8" t="s">
        <v>30</v>
      </c>
      <c r="W124" s="8"/>
    </row>
    <row r="125" spans="1:23" x14ac:dyDescent="0.35">
      <c r="A125" s="18" t="s">
        <v>232</v>
      </c>
      <c r="B125" s="18" t="s">
        <v>237</v>
      </c>
      <c r="C125" s="16" t="s">
        <v>537</v>
      </c>
      <c r="D125" s="18" t="s">
        <v>23</v>
      </c>
      <c r="E125" s="9" t="s">
        <v>238</v>
      </c>
      <c r="F125" s="9"/>
      <c r="G125" s="26" t="s">
        <v>25</v>
      </c>
      <c r="H125" s="25" t="s">
        <v>26</v>
      </c>
      <c r="I125" s="25"/>
      <c r="J125" s="15"/>
      <c r="K125" s="8">
        <v>23000</v>
      </c>
      <c r="L125" s="13">
        <v>21000</v>
      </c>
      <c r="M125" s="13">
        <f t="shared" si="3"/>
        <v>2000</v>
      </c>
      <c r="N125" s="8" t="s">
        <v>90</v>
      </c>
      <c r="O125" s="20" t="s">
        <v>29</v>
      </c>
      <c r="P125" s="8">
        <v>3</v>
      </c>
      <c r="Q125" s="8">
        <v>18</v>
      </c>
      <c r="R125" s="8">
        <v>1</v>
      </c>
      <c r="S125" s="8">
        <v>1</v>
      </c>
      <c r="T125" s="8">
        <v>0</v>
      </c>
      <c r="U125" s="8"/>
      <c r="V125" s="8" t="s">
        <v>30</v>
      </c>
      <c r="W125" s="8"/>
    </row>
    <row r="126" spans="1:23" x14ac:dyDescent="0.35">
      <c r="A126" s="18" t="s">
        <v>232</v>
      </c>
      <c r="B126" s="18" t="s">
        <v>235</v>
      </c>
      <c r="C126" s="16" t="s">
        <v>536</v>
      </c>
      <c r="D126" s="18" t="s">
        <v>23</v>
      </c>
      <c r="E126" s="9" t="s">
        <v>236</v>
      </c>
      <c r="F126" s="9"/>
      <c r="G126" s="26" t="s">
        <v>25</v>
      </c>
      <c r="H126" s="25" t="s">
        <v>26</v>
      </c>
      <c r="I126" s="25"/>
      <c r="J126" s="15"/>
      <c r="K126" s="8">
        <v>22000</v>
      </c>
      <c r="L126" s="13">
        <v>20000</v>
      </c>
      <c r="M126" s="13">
        <f t="shared" si="3"/>
        <v>2000</v>
      </c>
      <c r="N126" s="8" t="s">
        <v>90</v>
      </c>
      <c r="O126" s="20" t="s">
        <v>29</v>
      </c>
      <c r="P126" s="8">
        <v>3</v>
      </c>
      <c r="Q126" s="8">
        <v>19</v>
      </c>
      <c r="R126" s="8">
        <v>0</v>
      </c>
      <c r="S126" s="8">
        <v>0</v>
      </c>
      <c r="T126" s="8">
        <v>0</v>
      </c>
      <c r="U126" s="8"/>
      <c r="V126" s="8" t="s">
        <v>30</v>
      </c>
      <c r="W126" s="8"/>
    </row>
    <row r="127" spans="1:23" x14ac:dyDescent="0.35">
      <c r="A127" s="18" t="s">
        <v>232</v>
      </c>
      <c r="B127" s="18" t="s">
        <v>233</v>
      </c>
      <c r="C127" s="16" t="s">
        <v>535</v>
      </c>
      <c r="D127" s="18" t="s">
        <v>23</v>
      </c>
      <c r="E127" s="9" t="s">
        <v>234</v>
      </c>
      <c r="F127" s="9"/>
      <c r="G127" s="26" t="s">
        <v>25</v>
      </c>
      <c r="H127" s="25" t="s">
        <v>26</v>
      </c>
      <c r="I127" s="25"/>
      <c r="J127" s="15"/>
      <c r="K127" s="8">
        <v>22200</v>
      </c>
      <c r="L127" s="13">
        <v>20200</v>
      </c>
      <c r="M127" s="13">
        <f t="shared" si="3"/>
        <v>2000</v>
      </c>
      <c r="N127" s="8" t="s">
        <v>90</v>
      </c>
      <c r="O127" s="20" t="s">
        <v>29</v>
      </c>
      <c r="P127" s="8">
        <v>3</v>
      </c>
      <c r="Q127" s="8">
        <v>19</v>
      </c>
      <c r="R127" s="8">
        <v>0</v>
      </c>
      <c r="S127" s="8">
        <v>0</v>
      </c>
      <c r="T127" s="8">
        <v>0</v>
      </c>
      <c r="U127" s="8"/>
      <c r="V127" s="8" t="s">
        <v>30</v>
      </c>
      <c r="W127" s="8"/>
    </row>
    <row r="128" spans="1:23" x14ac:dyDescent="0.35">
      <c r="A128" s="18" t="s">
        <v>239</v>
      </c>
      <c r="B128" s="18" t="s">
        <v>243</v>
      </c>
      <c r="C128" s="14" t="s">
        <v>419</v>
      </c>
      <c r="D128" s="18" t="s">
        <v>23</v>
      </c>
      <c r="E128" s="9" t="s">
        <v>244</v>
      </c>
      <c r="F128" s="9"/>
      <c r="G128" s="26" t="s">
        <v>25</v>
      </c>
      <c r="H128" s="25" t="s">
        <v>26</v>
      </c>
      <c r="I128" s="25"/>
      <c r="J128" s="15"/>
      <c r="K128" s="8">
        <v>28000</v>
      </c>
      <c r="L128" s="13">
        <v>28000</v>
      </c>
      <c r="M128" s="13">
        <f t="shared" si="3"/>
        <v>0</v>
      </c>
      <c r="N128" s="8" t="s">
        <v>225</v>
      </c>
      <c r="O128" s="20" t="s">
        <v>203</v>
      </c>
      <c r="P128" s="8">
        <v>1</v>
      </c>
      <c r="Q128" s="8">
        <v>25</v>
      </c>
      <c r="R128" s="8">
        <v>0</v>
      </c>
      <c r="S128" s="8">
        <v>0</v>
      </c>
      <c r="T128" s="8">
        <v>0</v>
      </c>
      <c r="U128" s="8"/>
      <c r="V128" s="8" t="s">
        <v>30</v>
      </c>
      <c r="W128" s="8"/>
    </row>
    <row r="129" spans="1:23" x14ac:dyDescent="0.35">
      <c r="A129" s="18" t="s">
        <v>239</v>
      </c>
      <c r="B129" s="18" t="s">
        <v>248</v>
      </c>
      <c r="C129" s="16" t="s">
        <v>542</v>
      </c>
      <c r="D129" s="18" t="s">
        <v>23</v>
      </c>
      <c r="E129" s="9" t="s">
        <v>249</v>
      </c>
      <c r="F129" s="9"/>
      <c r="G129" s="26" t="s">
        <v>25</v>
      </c>
      <c r="H129" s="25" t="s">
        <v>26</v>
      </c>
      <c r="I129" s="25"/>
      <c r="J129" s="15"/>
      <c r="K129" s="8">
        <v>24500</v>
      </c>
      <c r="L129" s="13">
        <v>24500</v>
      </c>
      <c r="M129" s="13">
        <f t="shared" ref="M129:M160" si="4">K129-L129</f>
        <v>0</v>
      </c>
      <c r="N129" s="8" t="s">
        <v>225</v>
      </c>
      <c r="O129" s="20" t="s">
        <v>203</v>
      </c>
      <c r="P129" s="8">
        <v>1</v>
      </c>
      <c r="Q129" s="8">
        <v>25</v>
      </c>
      <c r="R129" s="8">
        <v>0</v>
      </c>
      <c r="S129" s="8">
        <v>0</v>
      </c>
      <c r="T129" s="8">
        <v>0</v>
      </c>
      <c r="U129" s="8"/>
      <c r="V129" s="8" t="s">
        <v>30</v>
      </c>
      <c r="W129" s="8"/>
    </row>
    <row r="130" spans="1:23" x14ac:dyDescent="0.35">
      <c r="A130" s="18" t="s">
        <v>239</v>
      </c>
      <c r="B130" s="18" t="s">
        <v>240</v>
      </c>
      <c r="C130" s="16" t="s">
        <v>538</v>
      </c>
      <c r="D130" s="18" t="s">
        <v>23</v>
      </c>
      <c r="E130" s="9" t="s">
        <v>241</v>
      </c>
      <c r="F130" s="9"/>
      <c r="G130" s="26" t="s">
        <v>25</v>
      </c>
      <c r="H130" s="25" t="s">
        <v>26</v>
      </c>
      <c r="I130" s="25"/>
      <c r="J130" s="15"/>
      <c r="K130" s="8">
        <v>23000</v>
      </c>
      <c r="L130" s="13">
        <v>23000</v>
      </c>
      <c r="M130" s="13">
        <f t="shared" si="4"/>
        <v>0</v>
      </c>
      <c r="N130" s="8" t="s">
        <v>225</v>
      </c>
      <c r="O130" s="20" t="s">
        <v>203</v>
      </c>
      <c r="P130" s="8">
        <v>1</v>
      </c>
      <c r="Q130" s="8">
        <v>25</v>
      </c>
      <c r="R130" s="8">
        <v>0</v>
      </c>
      <c r="S130" s="8">
        <v>0</v>
      </c>
      <c r="T130" s="8">
        <v>0</v>
      </c>
      <c r="U130" s="8"/>
      <c r="V130" s="8" t="s">
        <v>30</v>
      </c>
      <c r="W130" s="8"/>
    </row>
    <row r="131" spans="1:23" x14ac:dyDescent="0.35">
      <c r="A131" s="18" t="s">
        <v>239</v>
      </c>
      <c r="B131" s="18" t="s">
        <v>250</v>
      </c>
      <c r="C131" s="16" t="s">
        <v>543</v>
      </c>
      <c r="D131" s="18" t="s">
        <v>23</v>
      </c>
      <c r="E131" s="9" t="s">
        <v>251</v>
      </c>
      <c r="F131" s="9"/>
      <c r="G131" s="26" t="s">
        <v>25</v>
      </c>
      <c r="H131" s="25" t="s">
        <v>26</v>
      </c>
      <c r="I131" s="25"/>
      <c r="J131" s="15"/>
      <c r="K131" s="8">
        <v>23000</v>
      </c>
      <c r="L131" s="13">
        <v>23000</v>
      </c>
      <c r="M131" s="13">
        <f t="shared" si="4"/>
        <v>0</v>
      </c>
      <c r="N131" s="8" t="s">
        <v>225</v>
      </c>
      <c r="O131" s="20" t="s">
        <v>203</v>
      </c>
      <c r="P131" s="8">
        <v>1</v>
      </c>
      <c r="Q131" s="8">
        <v>25</v>
      </c>
      <c r="R131" s="8">
        <v>0</v>
      </c>
      <c r="S131" s="8">
        <v>0</v>
      </c>
      <c r="T131" s="8">
        <v>0</v>
      </c>
      <c r="U131" s="8"/>
      <c r="V131" s="8" t="s">
        <v>30</v>
      </c>
      <c r="W131" s="8"/>
    </row>
    <row r="132" spans="1:23" x14ac:dyDescent="0.35">
      <c r="A132" s="18" t="s">
        <v>239</v>
      </c>
      <c r="B132" s="18" t="s">
        <v>247</v>
      </c>
      <c r="C132" s="16" t="s">
        <v>541</v>
      </c>
      <c r="D132" s="18" t="s">
        <v>23</v>
      </c>
      <c r="E132" s="9" t="s">
        <v>172</v>
      </c>
      <c r="F132" s="9"/>
      <c r="G132" s="26" t="s">
        <v>25</v>
      </c>
      <c r="H132" s="25" t="s">
        <v>26</v>
      </c>
      <c r="I132" s="25"/>
      <c r="J132" s="15"/>
      <c r="K132" s="8">
        <v>25000</v>
      </c>
      <c r="L132" s="13">
        <v>25000</v>
      </c>
      <c r="M132" s="13">
        <f t="shared" si="4"/>
        <v>0</v>
      </c>
      <c r="N132" s="8" t="s">
        <v>225</v>
      </c>
      <c r="O132" s="20" t="s">
        <v>203</v>
      </c>
      <c r="P132" s="8">
        <v>1</v>
      </c>
      <c r="Q132" s="8">
        <v>25</v>
      </c>
      <c r="R132" s="8">
        <v>0</v>
      </c>
      <c r="S132" s="8">
        <v>0</v>
      </c>
      <c r="T132" s="8">
        <v>0</v>
      </c>
      <c r="U132" s="8"/>
      <c r="V132" s="8" t="s">
        <v>30</v>
      </c>
      <c r="W132" s="8"/>
    </row>
    <row r="133" spans="1:23" x14ac:dyDescent="0.35">
      <c r="A133" s="18" t="s">
        <v>239</v>
      </c>
      <c r="B133" s="18" t="s">
        <v>245</v>
      </c>
      <c r="C133" s="16" t="s">
        <v>540</v>
      </c>
      <c r="D133" s="18" t="s">
        <v>23</v>
      </c>
      <c r="E133" s="9" t="s">
        <v>246</v>
      </c>
      <c r="F133" s="9"/>
      <c r="G133" s="26" t="s">
        <v>25</v>
      </c>
      <c r="H133" s="25" t="s">
        <v>26</v>
      </c>
      <c r="I133" s="25"/>
      <c r="J133" s="15"/>
      <c r="K133" s="8">
        <v>25398</v>
      </c>
      <c r="L133" s="13">
        <v>25398</v>
      </c>
      <c r="M133" s="13">
        <f t="shared" si="4"/>
        <v>0</v>
      </c>
      <c r="N133" s="8" t="s">
        <v>225</v>
      </c>
      <c r="O133" s="20" t="s">
        <v>203</v>
      </c>
      <c r="P133" s="8">
        <v>1</v>
      </c>
      <c r="Q133" s="8">
        <v>25</v>
      </c>
      <c r="R133" s="8">
        <v>0</v>
      </c>
      <c r="S133" s="8">
        <v>0</v>
      </c>
      <c r="T133" s="8">
        <v>0</v>
      </c>
      <c r="U133" s="8"/>
      <c r="V133" s="8" t="s">
        <v>30</v>
      </c>
      <c r="W133" s="8"/>
    </row>
    <row r="134" spans="1:23" x14ac:dyDescent="0.35">
      <c r="A134" s="18" t="s">
        <v>239</v>
      </c>
      <c r="B134" s="18" t="s">
        <v>242</v>
      </c>
      <c r="C134" s="16" t="s">
        <v>539</v>
      </c>
      <c r="D134" s="18" t="s">
        <v>23</v>
      </c>
      <c r="E134" s="9" t="s">
        <v>168</v>
      </c>
      <c r="F134" s="9"/>
      <c r="G134" s="26" t="s">
        <v>25</v>
      </c>
      <c r="H134" s="25" t="s">
        <v>26</v>
      </c>
      <c r="I134" s="25"/>
      <c r="J134" s="15"/>
      <c r="K134" s="8">
        <v>24800</v>
      </c>
      <c r="L134" s="13">
        <v>24800</v>
      </c>
      <c r="M134" s="13">
        <f t="shared" si="4"/>
        <v>0</v>
      </c>
      <c r="N134" s="8" t="s">
        <v>225</v>
      </c>
      <c r="O134" s="20" t="s">
        <v>203</v>
      </c>
      <c r="P134" s="8">
        <v>1</v>
      </c>
      <c r="Q134" s="8">
        <v>25</v>
      </c>
      <c r="R134" s="8">
        <v>0</v>
      </c>
      <c r="S134" s="8">
        <v>0</v>
      </c>
      <c r="T134" s="8">
        <v>0</v>
      </c>
      <c r="U134" s="8"/>
      <c r="V134" s="8" t="s">
        <v>30</v>
      </c>
      <c r="W134" s="8"/>
    </row>
    <row r="135" spans="1:23" x14ac:dyDescent="0.35">
      <c r="A135" s="18" t="s">
        <v>252</v>
      </c>
      <c r="B135" s="18" t="s">
        <v>253</v>
      </c>
      <c r="C135" s="16" t="s">
        <v>544</v>
      </c>
      <c r="D135" s="18" t="s">
        <v>254</v>
      </c>
      <c r="E135" s="9" t="s">
        <v>140</v>
      </c>
      <c r="F135" s="9"/>
      <c r="G135" s="26" t="s">
        <v>25</v>
      </c>
      <c r="H135" s="29" t="s">
        <v>324</v>
      </c>
      <c r="I135" s="26"/>
      <c r="J135" s="17"/>
      <c r="K135" s="8">
        <v>106920</v>
      </c>
      <c r="L135" s="13">
        <v>106920</v>
      </c>
      <c r="M135" s="13">
        <f t="shared" si="4"/>
        <v>0</v>
      </c>
      <c r="N135" s="8" t="s">
        <v>90</v>
      </c>
      <c r="O135" s="20" t="s">
        <v>29</v>
      </c>
      <c r="P135" s="8">
        <v>1</v>
      </c>
      <c r="Q135" s="8">
        <v>19</v>
      </c>
      <c r="R135" s="8">
        <v>2</v>
      </c>
      <c r="S135" s="8">
        <v>2</v>
      </c>
      <c r="T135" s="8">
        <v>0</v>
      </c>
      <c r="U135" s="8"/>
      <c r="V135" s="8" t="s">
        <v>30</v>
      </c>
      <c r="W135" s="8"/>
    </row>
    <row r="136" spans="1:23" x14ac:dyDescent="0.35">
      <c r="A136" s="18" t="s">
        <v>255</v>
      </c>
      <c r="B136" s="18" t="s">
        <v>259</v>
      </c>
      <c r="C136" s="16" t="s">
        <v>546</v>
      </c>
      <c r="D136" s="18" t="s">
        <v>23</v>
      </c>
      <c r="E136" s="9" t="s">
        <v>260</v>
      </c>
      <c r="F136" s="9"/>
      <c r="G136" s="26" t="s">
        <v>25</v>
      </c>
      <c r="H136" s="25" t="s">
        <v>218</v>
      </c>
      <c r="I136" s="25" t="s">
        <v>257</v>
      </c>
      <c r="J136" s="15"/>
      <c r="K136" s="8">
        <v>100000</v>
      </c>
      <c r="L136" s="13">
        <v>100000</v>
      </c>
      <c r="M136" s="13">
        <f t="shared" si="4"/>
        <v>0</v>
      </c>
      <c r="N136" s="8" t="s">
        <v>258</v>
      </c>
      <c r="O136" s="20" t="s">
        <v>29</v>
      </c>
      <c r="P136" s="8">
        <v>1</v>
      </c>
      <c r="Q136" s="8">
        <v>21</v>
      </c>
      <c r="R136" s="8">
        <v>0</v>
      </c>
      <c r="S136" s="8">
        <v>0</v>
      </c>
      <c r="T136" s="8">
        <v>0</v>
      </c>
      <c r="U136" s="8"/>
      <c r="V136" s="8" t="s">
        <v>30</v>
      </c>
      <c r="W136" s="8"/>
    </row>
    <row r="137" spans="1:23" x14ac:dyDescent="0.35">
      <c r="A137" s="18" t="s">
        <v>255</v>
      </c>
      <c r="B137" s="18" t="s">
        <v>256</v>
      </c>
      <c r="C137" s="16" t="s">
        <v>545</v>
      </c>
      <c r="D137" s="18" t="s">
        <v>23</v>
      </c>
      <c r="E137" s="9" t="s">
        <v>86</v>
      </c>
      <c r="F137" s="9"/>
      <c r="G137" s="26" t="s">
        <v>25</v>
      </c>
      <c r="H137" s="25" t="s">
        <v>218</v>
      </c>
      <c r="I137" s="25" t="s">
        <v>257</v>
      </c>
      <c r="J137" s="15"/>
      <c r="K137" s="8">
        <v>100000</v>
      </c>
      <c r="L137" s="13">
        <v>100000</v>
      </c>
      <c r="M137" s="13">
        <f t="shared" si="4"/>
        <v>0</v>
      </c>
      <c r="N137" s="8" t="s">
        <v>258</v>
      </c>
      <c r="O137" s="20" t="s">
        <v>29</v>
      </c>
      <c r="P137" s="8">
        <v>1</v>
      </c>
      <c r="Q137" s="8">
        <v>21</v>
      </c>
      <c r="R137" s="8">
        <v>0</v>
      </c>
      <c r="S137" s="8">
        <v>0</v>
      </c>
      <c r="T137" s="8">
        <v>0</v>
      </c>
      <c r="U137" s="8"/>
      <c r="V137" s="8" t="s">
        <v>30</v>
      </c>
      <c r="W137" s="8"/>
    </row>
    <row r="138" spans="1:23" x14ac:dyDescent="0.35">
      <c r="A138" s="18" t="s">
        <v>261</v>
      </c>
      <c r="B138" s="18" t="s">
        <v>262</v>
      </c>
      <c r="C138" s="16" t="s">
        <v>547</v>
      </c>
      <c r="D138" s="18" t="s">
        <v>23</v>
      </c>
      <c r="E138" s="9" t="s">
        <v>251</v>
      </c>
      <c r="F138" s="9"/>
      <c r="G138" s="26" t="s">
        <v>25</v>
      </c>
      <c r="H138" s="25" t="s">
        <v>218</v>
      </c>
      <c r="I138" s="25"/>
      <c r="J138" s="15"/>
      <c r="K138" s="8">
        <v>35280</v>
      </c>
      <c r="L138" s="13">
        <v>35280</v>
      </c>
      <c r="M138" s="13">
        <f t="shared" si="4"/>
        <v>0</v>
      </c>
      <c r="N138" s="19" t="s">
        <v>90</v>
      </c>
      <c r="O138" s="20" t="s">
        <v>29</v>
      </c>
      <c r="P138" s="8">
        <v>2</v>
      </c>
      <c r="Q138" s="8">
        <v>20</v>
      </c>
      <c r="R138" s="8">
        <v>0</v>
      </c>
      <c r="S138" s="8">
        <v>0</v>
      </c>
      <c r="T138" s="8">
        <v>0</v>
      </c>
      <c r="U138" s="8"/>
      <c r="V138" s="8" t="s">
        <v>30</v>
      </c>
      <c r="W138" s="8"/>
    </row>
    <row r="139" spans="1:23" x14ac:dyDescent="0.35">
      <c r="A139" s="18" t="s">
        <v>263</v>
      </c>
      <c r="B139" s="18" t="s">
        <v>266</v>
      </c>
      <c r="C139" s="16" t="s">
        <v>549</v>
      </c>
      <c r="D139" s="18" t="s">
        <v>23</v>
      </c>
      <c r="E139" s="9">
        <v>46049</v>
      </c>
      <c r="F139" s="9"/>
      <c r="G139" s="26" t="s">
        <v>25</v>
      </c>
      <c r="H139" s="25" t="s">
        <v>26</v>
      </c>
      <c r="I139" s="26"/>
      <c r="J139" s="17"/>
      <c r="K139" s="19">
        <v>55000</v>
      </c>
      <c r="L139" s="13">
        <v>55000</v>
      </c>
      <c r="M139" s="13">
        <f t="shared" si="4"/>
        <v>0</v>
      </c>
      <c r="N139" s="19" t="s">
        <v>90</v>
      </c>
      <c r="O139" s="20" t="s">
        <v>29</v>
      </c>
      <c r="P139" s="8">
        <v>1</v>
      </c>
      <c r="Q139" s="8">
        <v>19</v>
      </c>
      <c r="R139" s="8" t="s">
        <v>94</v>
      </c>
      <c r="S139" s="8" t="s">
        <v>94</v>
      </c>
      <c r="T139" s="8" t="s">
        <v>94</v>
      </c>
      <c r="U139" s="8"/>
      <c r="V139" s="8" t="s">
        <v>30</v>
      </c>
      <c r="W139" s="8"/>
    </row>
    <row r="140" spans="1:23" x14ac:dyDescent="0.35">
      <c r="A140" s="18" t="s">
        <v>263</v>
      </c>
      <c r="B140" s="18" t="s">
        <v>264</v>
      </c>
      <c r="C140" s="16" t="s">
        <v>548</v>
      </c>
      <c r="D140" s="18" t="s">
        <v>23</v>
      </c>
      <c r="E140" s="9" t="s">
        <v>265</v>
      </c>
      <c r="F140" s="9"/>
      <c r="G140" s="26" t="s">
        <v>25</v>
      </c>
      <c r="H140" s="25" t="s">
        <v>26</v>
      </c>
      <c r="I140" s="26"/>
      <c r="J140" s="17"/>
      <c r="K140" s="19">
        <v>52000</v>
      </c>
      <c r="L140" s="13">
        <v>52000</v>
      </c>
      <c r="M140" s="13">
        <f t="shared" si="4"/>
        <v>0</v>
      </c>
      <c r="N140" s="19" t="s">
        <v>90</v>
      </c>
      <c r="O140" s="20" t="s">
        <v>29</v>
      </c>
      <c r="P140" s="8" t="s">
        <v>94</v>
      </c>
      <c r="Q140" s="8">
        <v>2</v>
      </c>
      <c r="R140" s="8">
        <v>2</v>
      </c>
      <c r="S140" s="8" t="s">
        <v>94</v>
      </c>
      <c r="T140" s="8" t="s">
        <v>94</v>
      </c>
      <c r="U140" s="8"/>
      <c r="V140" s="8" t="s">
        <v>30</v>
      </c>
      <c r="W140" s="8"/>
    </row>
    <row r="141" spans="1:23" x14ac:dyDescent="0.35">
      <c r="A141" s="18" t="s">
        <v>326</v>
      </c>
      <c r="B141" s="18" t="s">
        <v>329</v>
      </c>
      <c r="C141" s="14" t="s">
        <v>586</v>
      </c>
      <c r="D141" s="18" t="s">
        <v>23</v>
      </c>
      <c r="E141" s="14" t="s">
        <v>408</v>
      </c>
      <c r="F141" s="14"/>
      <c r="G141" s="26" t="s">
        <v>25</v>
      </c>
      <c r="H141" s="25" t="s">
        <v>333</v>
      </c>
      <c r="I141" s="26" t="s">
        <v>27</v>
      </c>
      <c r="J141" s="17"/>
      <c r="K141" s="19">
        <v>22000</v>
      </c>
      <c r="L141" s="13">
        <v>22000</v>
      </c>
      <c r="M141" s="13">
        <f t="shared" si="4"/>
        <v>0</v>
      </c>
      <c r="N141" s="19" t="s">
        <v>90</v>
      </c>
      <c r="O141" s="20" t="s">
        <v>29</v>
      </c>
      <c r="P141" s="8">
        <v>3</v>
      </c>
      <c r="Q141" s="8">
        <v>17</v>
      </c>
      <c r="R141" s="8">
        <v>2</v>
      </c>
      <c r="S141" s="8">
        <v>2</v>
      </c>
      <c r="T141" s="8"/>
      <c r="U141" s="8"/>
      <c r="V141" s="8" t="s">
        <v>30</v>
      </c>
      <c r="W141" s="8"/>
    </row>
    <row r="142" spans="1:23" x14ac:dyDescent="0.35">
      <c r="A142" s="18" t="s">
        <v>326</v>
      </c>
      <c r="B142" s="18" t="s">
        <v>328</v>
      </c>
      <c r="C142" s="14" t="s">
        <v>583</v>
      </c>
      <c r="D142" s="18" t="s">
        <v>23</v>
      </c>
      <c r="E142" s="14" t="s">
        <v>408</v>
      </c>
      <c r="F142" s="14"/>
      <c r="G142" s="26" t="s">
        <v>25</v>
      </c>
      <c r="H142" s="25" t="s">
        <v>333</v>
      </c>
      <c r="I142" s="26" t="s">
        <v>27</v>
      </c>
      <c r="J142" s="17"/>
      <c r="K142" s="19">
        <v>22000</v>
      </c>
      <c r="L142" s="13">
        <v>22000</v>
      </c>
      <c r="M142" s="13">
        <f t="shared" si="4"/>
        <v>0</v>
      </c>
      <c r="N142" s="19" t="s">
        <v>90</v>
      </c>
      <c r="O142" s="20" t="s">
        <v>29</v>
      </c>
      <c r="P142" s="8">
        <v>3</v>
      </c>
      <c r="Q142" s="8">
        <v>16</v>
      </c>
      <c r="R142" s="8">
        <v>3</v>
      </c>
      <c r="S142" s="8">
        <v>2</v>
      </c>
      <c r="T142" s="8"/>
      <c r="U142" s="8"/>
      <c r="V142" s="8" t="s">
        <v>30</v>
      </c>
      <c r="W142" s="8"/>
    </row>
    <row r="143" spans="1:23" x14ac:dyDescent="0.35">
      <c r="A143" s="18" t="s">
        <v>326</v>
      </c>
      <c r="B143" s="18" t="s">
        <v>330</v>
      </c>
      <c r="C143" s="14" t="s">
        <v>582</v>
      </c>
      <c r="D143" s="18" t="s">
        <v>23</v>
      </c>
      <c r="E143" s="14" t="s">
        <v>407</v>
      </c>
      <c r="F143" s="14"/>
      <c r="G143" s="26" t="s">
        <v>25</v>
      </c>
      <c r="H143" s="25" t="s">
        <v>333</v>
      </c>
      <c r="I143" s="26" t="s">
        <v>27</v>
      </c>
      <c r="J143" s="17"/>
      <c r="K143" s="19">
        <v>26200</v>
      </c>
      <c r="L143" s="13">
        <v>26200</v>
      </c>
      <c r="M143" s="13">
        <f t="shared" si="4"/>
        <v>0</v>
      </c>
      <c r="N143" s="19" t="s">
        <v>90</v>
      </c>
      <c r="O143" s="20" t="s">
        <v>29</v>
      </c>
      <c r="P143" s="8">
        <v>3</v>
      </c>
      <c r="Q143" s="8">
        <v>19</v>
      </c>
      <c r="R143" s="8">
        <v>0</v>
      </c>
      <c r="S143" s="8">
        <v>0</v>
      </c>
      <c r="T143" s="8"/>
      <c r="U143" s="8"/>
      <c r="V143" s="8" t="s">
        <v>30</v>
      </c>
      <c r="W143" s="8"/>
    </row>
    <row r="144" spans="1:23" x14ac:dyDescent="0.35">
      <c r="A144" s="18" t="s">
        <v>326</v>
      </c>
      <c r="B144" s="18" t="s">
        <v>331</v>
      </c>
      <c r="C144" s="14" t="s">
        <v>581</v>
      </c>
      <c r="D144" s="18" t="s">
        <v>23</v>
      </c>
      <c r="E144" s="14" t="s">
        <v>406</v>
      </c>
      <c r="F144" s="14"/>
      <c r="G144" s="26" t="s">
        <v>25</v>
      </c>
      <c r="H144" s="25" t="s">
        <v>333</v>
      </c>
      <c r="I144" s="26" t="s">
        <v>27</v>
      </c>
      <c r="J144" s="17"/>
      <c r="K144" s="19">
        <v>19200</v>
      </c>
      <c r="L144" s="13">
        <v>19200</v>
      </c>
      <c r="M144" s="13">
        <f t="shared" si="4"/>
        <v>0</v>
      </c>
      <c r="N144" s="19" t="s">
        <v>90</v>
      </c>
      <c r="O144" s="20" t="s">
        <v>29</v>
      </c>
      <c r="P144" s="8">
        <v>3</v>
      </c>
      <c r="Q144" s="8">
        <v>18</v>
      </c>
      <c r="R144" s="8">
        <v>1</v>
      </c>
      <c r="S144" s="8">
        <v>1</v>
      </c>
      <c r="T144" s="8"/>
      <c r="U144" s="8"/>
      <c r="V144" s="8" t="s">
        <v>30</v>
      </c>
      <c r="W144" s="8"/>
    </row>
    <row r="145" spans="1:23" x14ac:dyDescent="0.35">
      <c r="A145" s="18" t="s">
        <v>326</v>
      </c>
      <c r="B145" s="18" t="s">
        <v>332</v>
      </c>
      <c r="C145" s="14" t="s">
        <v>584</v>
      </c>
      <c r="D145" s="18" t="s">
        <v>23</v>
      </c>
      <c r="E145" s="14" t="s">
        <v>136</v>
      </c>
      <c r="F145" s="14"/>
      <c r="G145" s="26" t="s">
        <v>25</v>
      </c>
      <c r="H145" s="25" t="s">
        <v>333</v>
      </c>
      <c r="I145" s="26" t="s">
        <v>257</v>
      </c>
      <c r="J145" s="17"/>
      <c r="K145" s="19">
        <v>31000</v>
      </c>
      <c r="L145" s="13">
        <v>31000</v>
      </c>
      <c r="M145" s="13">
        <f t="shared" si="4"/>
        <v>0</v>
      </c>
      <c r="N145" s="19" t="s">
        <v>90</v>
      </c>
      <c r="O145" s="20" t="s">
        <v>29</v>
      </c>
      <c r="P145" s="8">
        <v>3</v>
      </c>
      <c r="Q145" s="8">
        <v>19</v>
      </c>
      <c r="R145" s="8">
        <v>0</v>
      </c>
      <c r="S145" s="8">
        <v>0</v>
      </c>
      <c r="T145" s="8"/>
      <c r="U145" s="8"/>
      <c r="V145" s="8" t="s">
        <v>30</v>
      </c>
      <c r="W145" s="8"/>
    </row>
    <row r="146" spans="1:23" x14ac:dyDescent="0.35">
      <c r="A146" s="18" t="s">
        <v>326</v>
      </c>
      <c r="B146" s="18" t="s">
        <v>327</v>
      </c>
      <c r="C146" s="14" t="s">
        <v>585</v>
      </c>
      <c r="D146" s="18" t="s">
        <v>23</v>
      </c>
      <c r="E146" s="14" t="s">
        <v>409</v>
      </c>
      <c r="F146" s="14"/>
      <c r="G146" s="26" t="s">
        <v>25</v>
      </c>
      <c r="H146" s="25" t="s">
        <v>333</v>
      </c>
      <c r="I146" s="26" t="s">
        <v>27</v>
      </c>
      <c r="J146" s="17"/>
      <c r="K146" s="19">
        <v>26600</v>
      </c>
      <c r="L146" s="13">
        <v>26600</v>
      </c>
      <c r="M146" s="13">
        <f t="shared" si="4"/>
        <v>0</v>
      </c>
      <c r="N146" s="19" t="s">
        <v>90</v>
      </c>
      <c r="O146" s="20" t="s">
        <v>29</v>
      </c>
      <c r="P146" s="8">
        <v>3</v>
      </c>
      <c r="Q146" s="8">
        <v>19</v>
      </c>
      <c r="R146" s="8">
        <v>0</v>
      </c>
      <c r="S146" s="8">
        <v>0</v>
      </c>
      <c r="T146" s="8"/>
      <c r="U146" s="8"/>
      <c r="V146" s="8" t="s">
        <v>30</v>
      </c>
      <c r="W146" s="8"/>
    </row>
    <row r="147" spans="1:23" x14ac:dyDescent="0.35">
      <c r="A147" s="18" t="s">
        <v>267</v>
      </c>
      <c r="B147" s="18" t="s">
        <v>269</v>
      </c>
      <c r="C147" s="16" t="s">
        <v>551</v>
      </c>
      <c r="D147" s="18" t="s">
        <v>23</v>
      </c>
      <c r="E147" s="9" t="s">
        <v>270</v>
      </c>
      <c r="F147" s="9"/>
      <c r="G147" s="26" t="s">
        <v>25</v>
      </c>
      <c r="H147" s="25" t="s">
        <v>26</v>
      </c>
      <c r="I147" s="26"/>
      <c r="J147" s="17"/>
      <c r="K147" s="19">
        <v>60000</v>
      </c>
      <c r="L147" s="13">
        <v>60000</v>
      </c>
      <c r="M147" s="13">
        <f t="shared" si="4"/>
        <v>0</v>
      </c>
      <c r="N147" s="19" t="s">
        <v>90</v>
      </c>
      <c r="O147" s="20" t="s">
        <v>29</v>
      </c>
      <c r="P147" s="8">
        <v>1</v>
      </c>
      <c r="Q147" s="8">
        <v>21</v>
      </c>
      <c r="R147" s="8" t="s">
        <v>94</v>
      </c>
      <c r="S147" s="8" t="s">
        <v>94</v>
      </c>
      <c r="T147" s="8" t="s">
        <v>94</v>
      </c>
      <c r="U147" s="8"/>
      <c r="V147" s="8" t="s">
        <v>30</v>
      </c>
      <c r="W147" s="8"/>
    </row>
    <row r="148" spans="1:23" x14ac:dyDescent="0.35">
      <c r="A148" s="18" t="s">
        <v>267</v>
      </c>
      <c r="B148" s="18" t="s">
        <v>268</v>
      </c>
      <c r="C148" s="16" t="s">
        <v>550</v>
      </c>
      <c r="D148" s="18" t="s">
        <v>23</v>
      </c>
      <c r="E148" s="9" t="s">
        <v>89</v>
      </c>
      <c r="F148" s="9"/>
      <c r="G148" s="26" t="s">
        <v>25</v>
      </c>
      <c r="H148" s="25" t="s">
        <v>26</v>
      </c>
      <c r="I148" s="26"/>
      <c r="J148" s="17"/>
      <c r="K148" s="19">
        <v>50000</v>
      </c>
      <c r="L148" s="13">
        <v>50000</v>
      </c>
      <c r="M148" s="13">
        <f t="shared" si="4"/>
        <v>0</v>
      </c>
      <c r="N148" s="19" t="s">
        <v>90</v>
      </c>
      <c r="O148" s="20" t="s">
        <v>29</v>
      </c>
      <c r="P148" s="8">
        <v>1</v>
      </c>
      <c r="Q148" s="8">
        <v>16</v>
      </c>
      <c r="R148" s="8">
        <v>4</v>
      </c>
      <c r="S148" s="8">
        <v>1</v>
      </c>
      <c r="T148" s="8" t="s">
        <v>94</v>
      </c>
      <c r="U148" s="8"/>
      <c r="V148" s="8" t="s">
        <v>30</v>
      </c>
      <c r="W148" s="8"/>
    </row>
    <row r="149" spans="1:23" x14ac:dyDescent="0.35">
      <c r="A149" s="18" t="s">
        <v>271</v>
      </c>
      <c r="B149" s="18" t="s">
        <v>272</v>
      </c>
      <c r="C149" s="16" t="s">
        <v>552</v>
      </c>
      <c r="D149" s="18" t="s">
        <v>23</v>
      </c>
      <c r="E149" s="9" t="s">
        <v>273</v>
      </c>
      <c r="F149" s="9"/>
      <c r="G149" s="26" t="s">
        <v>25</v>
      </c>
      <c r="H149" s="25" t="s">
        <v>26</v>
      </c>
      <c r="I149" s="26"/>
      <c r="J149" s="17"/>
      <c r="K149" s="8">
        <v>44800</v>
      </c>
      <c r="L149" s="13">
        <v>41800</v>
      </c>
      <c r="M149" s="13">
        <f t="shared" si="4"/>
        <v>3000</v>
      </c>
      <c r="N149" s="19" t="s">
        <v>90</v>
      </c>
      <c r="O149" s="20" t="s">
        <v>29</v>
      </c>
      <c r="P149" s="8">
        <v>2</v>
      </c>
      <c r="Q149" s="8">
        <v>16</v>
      </c>
      <c r="R149" s="8">
        <v>4</v>
      </c>
      <c r="S149" s="8">
        <v>4</v>
      </c>
      <c r="T149" s="8">
        <v>0</v>
      </c>
      <c r="U149" s="8"/>
      <c r="V149" s="8" t="s">
        <v>30</v>
      </c>
      <c r="W149" s="8"/>
    </row>
    <row r="150" spans="1:23" x14ac:dyDescent="0.35">
      <c r="A150" s="18" t="s">
        <v>271</v>
      </c>
      <c r="B150" s="18" t="s">
        <v>274</v>
      </c>
      <c r="C150" s="16" t="s">
        <v>553</v>
      </c>
      <c r="D150" s="18" t="s">
        <v>23</v>
      </c>
      <c r="E150" s="9" t="s">
        <v>273</v>
      </c>
      <c r="F150" s="9"/>
      <c r="G150" s="26" t="s">
        <v>25</v>
      </c>
      <c r="H150" s="25" t="s">
        <v>26</v>
      </c>
      <c r="I150" s="26"/>
      <c r="J150" s="17"/>
      <c r="K150" s="8">
        <v>36800</v>
      </c>
      <c r="L150" s="13">
        <v>33800</v>
      </c>
      <c r="M150" s="13">
        <f t="shared" si="4"/>
        <v>3000</v>
      </c>
      <c r="N150" s="19" t="s">
        <v>90</v>
      </c>
      <c r="O150" s="20" t="s">
        <v>29</v>
      </c>
      <c r="P150" s="8">
        <v>2</v>
      </c>
      <c r="Q150" s="8">
        <v>18</v>
      </c>
      <c r="R150" s="8">
        <v>2</v>
      </c>
      <c r="S150" s="8">
        <v>2</v>
      </c>
      <c r="T150" s="8">
        <v>0</v>
      </c>
      <c r="U150" s="8"/>
      <c r="V150" s="8" t="s">
        <v>30</v>
      </c>
      <c r="W150" s="8"/>
    </row>
    <row r="151" spans="1:23" x14ac:dyDescent="0.35">
      <c r="A151" s="18" t="s">
        <v>335</v>
      </c>
      <c r="B151" s="18" t="s">
        <v>337</v>
      </c>
      <c r="C151" s="16" t="s">
        <v>604</v>
      </c>
      <c r="D151" s="18" t="s">
        <v>254</v>
      </c>
      <c r="E151" s="9">
        <v>45495</v>
      </c>
      <c r="F151" s="9"/>
      <c r="G151" s="26" t="s">
        <v>25</v>
      </c>
      <c r="H151" s="29" t="s">
        <v>324</v>
      </c>
      <c r="I151" s="26"/>
      <c r="J151" s="17"/>
      <c r="K151" s="8">
        <v>15000</v>
      </c>
      <c r="L151" s="13">
        <v>15000</v>
      </c>
      <c r="M151" s="13">
        <f t="shared" si="4"/>
        <v>0</v>
      </c>
      <c r="N151" s="19"/>
      <c r="O151" s="20"/>
      <c r="P151" s="8"/>
      <c r="Q151" s="8"/>
      <c r="R151" s="8"/>
      <c r="S151" s="8"/>
      <c r="T151" s="8"/>
      <c r="U151" s="8"/>
      <c r="V151" s="8"/>
      <c r="W151" s="8"/>
    </row>
    <row r="152" spans="1:23" x14ac:dyDescent="0.35">
      <c r="A152" s="18" t="s">
        <v>335</v>
      </c>
      <c r="B152" s="18" t="s">
        <v>336</v>
      </c>
      <c r="C152" s="16" t="s">
        <v>555</v>
      </c>
      <c r="D152" s="18" t="s">
        <v>254</v>
      </c>
      <c r="E152" s="22">
        <v>45260</v>
      </c>
      <c r="F152" s="22"/>
      <c r="G152" s="26" t="s">
        <v>25</v>
      </c>
      <c r="H152" s="29" t="s">
        <v>324</v>
      </c>
      <c r="I152" s="26"/>
      <c r="J152" s="17"/>
      <c r="K152" s="8">
        <v>30038</v>
      </c>
      <c r="L152" s="13">
        <v>30038</v>
      </c>
      <c r="M152" s="13">
        <f t="shared" si="4"/>
        <v>0</v>
      </c>
      <c r="N152" s="19"/>
      <c r="O152" s="20"/>
      <c r="P152" s="8"/>
      <c r="Q152" s="8"/>
      <c r="R152" s="8"/>
      <c r="S152" s="8"/>
      <c r="T152" s="8"/>
      <c r="U152" s="8"/>
      <c r="V152" s="8"/>
      <c r="W152" s="8"/>
    </row>
    <row r="153" spans="1:23" x14ac:dyDescent="0.35">
      <c r="A153" s="18" t="s">
        <v>335</v>
      </c>
      <c r="B153" s="16" t="s">
        <v>404</v>
      </c>
      <c r="C153" s="16" t="s">
        <v>554</v>
      </c>
      <c r="D153" s="18" t="s">
        <v>254</v>
      </c>
      <c r="E153" s="14" t="s">
        <v>405</v>
      </c>
      <c r="F153" s="14"/>
      <c r="G153" s="26" t="s">
        <v>25</v>
      </c>
      <c r="H153" s="29" t="s">
        <v>324</v>
      </c>
      <c r="I153" s="26"/>
      <c r="J153" s="17"/>
      <c r="K153" s="8">
        <v>13500</v>
      </c>
      <c r="L153" s="13">
        <v>13500</v>
      </c>
      <c r="M153" s="13">
        <f t="shared" si="4"/>
        <v>0</v>
      </c>
      <c r="N153" s="19"/>
      <c r="O153" s="20"/>
      <c r="P153" s="8"/>
      <c r="Q153" s="8"/>
      <c r="R153" s="8"/>
      <c r="S153" s="8"/>
      <c r="T153" s="8"/>
      <c r="U153" s="8"/>
      <c r="V153" s="8"/>
      <c r="W153" s="8"/>
    </row>
    <row r="154" spans="1:23" x14ac:dyDescent="0.35">
      <c r="A154" s="18" t="s">
        <v>275</v>
      </c>
      <c r="B154" s="18" t="s">
        <v>284</v>
      </c>
      <c r="C154" s="16" t="s">
        <v>560</v>
      </c>
      <c r="D154" s="18" t="s">
        <v>23</v>
      </c>
      <c r="E154" s="9" t="s">
        <v>285</v>
      </c>
      <c r="F154" s="9"/>
      <c r="G154" s="26" t="s">
        <v>25</v>
      </c>
      <c r="H154" s="25" t="s">
        <v>26</v>
      </c>
      <c r="I154" s="25"/>
      <c r="J154" s="15"/>
      <c r="K154" s="8">
        <v>23385</v>
      </c>
      <c r="L154" s="13">
        <v>23385</v>
      </c>
      <c r="M154" s="13">
        <f t="shared" si="4"/>
        <v>0</v>
      </c>
      <c r="N154" s="8" t="s">
        <v>90</v>
      </c>
      <c r="O154" s="20" t="s">
        <v>203</v>
      </c>
      <c r="P154" s="8">
        <v>2</v>
      </c>
      <c r="Q154" s="8">
        <v>25</v>
      </c>
      <c r="R154" s="8">
        <v>0</v>
      </c>
      <c r="S154" s="8">
        <v>0</v>
      </c>
      <c r="T154" s="8">
        <v>0</v>
      </c>
      <c r="U154" s="8"/>
      <c r="V154" s="8" t="s">
        <v>30</v>
      </c>
      <c r="W154" s="8"/>
    </row>
    <row r="155" spans="1:23" x14ac:dyDescent="0.35">
      <c r="A155" s="18" t="s">
        <v>275</v>
      </c>
      <c r="B155" s="18" t="s">
        <v>292</v>
      </c>
      <c r="C155" s="16" t="s">
        <v>565</v>
      </c>
      <c r="D155" s="18" t="s">
        <v>23</v>
      </c>
      <c r="E155" s="9" t="s">
        <v>293</v>
      </c>
      <c r="F155" s="9"/>
      <c r="G155" s="26" t="s">
        <v>25</v>
      </c>
      <c r="H155" s="25" t="s">
        <v>26</v>
      </c>
      <c r="I155" s="25"/>
      <c r="J155" s="15"/>
      <c r="K155" s="8">
        <v>23235</v>
      </c>
      <c r="L155" s="13">
        <v>23235</v>
      </c>
      <c r="M155" s="13">
        <f t="shared" si="4"/>
        <v>0</v>
      </c>
      <c r="N155" s="8" t="s">
        <v>90</v>
      </c>
      <c r="O155" s="20" t="s">
        <v>203</v>
      </c>
      <c r="P155" s="8">
        <v>2</v>
      </c>
      <c r="Q155" s="8">
        <v>25</v>
      </c>
      <c r="R155" s="8">
        <v>0</v>
      </c>
      <c r="S155" s="8">
        <v>0</v>
      </c>
      <c r="T155" s="8">
        <v>0</v>
      </c>
      <c r="U155" s="8"/>
      <c r="V155" s="8" t="s">
        <v>30</v>
      </c>
      <c r="W155" s="8"/>
    </row>
    <row r="156" spans="1:23" x14ac:dyDescent="0.35">
      <c r="A156" s="18" t="s">
        <v>275</v>
      </c>
      <c r="B156" s="18" t="s">
        <v>280</v>
      </c>
      <c r="C156" s="16" t="s">
        <v>558</v>
      </c>
      <c r="D156" s="18" t="s">
        <v>23</v>
      </c>
      <c r="E156" s="9" t="s">
        <v>281</v>
      </c>
      <c r="F156" s="9"/>
      <c r="G156" s="26" t="s">
        <v>25</v>
      </c>
      <c r="H156" s="25" t="s">
        <v>26</v>
      </c>
      <c r="I156" s="25"/>
      <c r="J156" s="15"/>
      <c r="K156" s="8">
        <v>22884</v>
      </c>
      <c r="L156" s="13">
        <v>22884</v>
      </c>
      <c r="M156" s="13">
        <f t="shared" si="4"/>
        <v>0</v>
      </c>
      <c r="N156" s="8" t="s">
        <v>90</v>
      </c>
      <c r="O156" s="20" t="s">
        <v>203</v>
      </c>
      <c r="P156" s="8">
        <v>2</v>
      </c>
      <c r="Q156" s="8">
        <v>22</v>
      </c>
      <c r="R156" s="8">
        <v>3</v>
      </c>
      <c r="S156" s="8">
        <v>3</v>
      </c>
      <c r="T156" s="8">
        <v>0</v>
      </c>
      <c r="U156" s="8"/>
      <c r="V156" s="8" t="s">
        <v>30</v>
      </c>
      <c r="W156" s="8"/>
    </row>
    <row r="157" spans="1:23" x14ac:dyDescent="0.35">
      <c r="A157" s="18" t="s">
        <v>275</v>
      </c>
      <c r="B157" s="18" t="s">
        <v>286</v>
      </c>
      <c r="C157" s="16" t="s">
        <v>561</v>
      </c>
      <c r="D157" s="18" t="s">
        <v>23</v>
      </c>
      <c r="E157" s="9" t="s">
        <v>287</v>
      </c>
      <c r="F157" s="9"/>
      <c r="G157" s="26" t="s">
        <v>25</v>
      </c>
      <c r="H157" s="25" t="s">
        <v>26</v>
      </c>
      <c r="I157" s="25"/>
      <c r="J157" s="15"/>
      <c r="K157" s="8">
        <v>22398</v>
      </c>
      <c r="L157" s="13">
        <v>22398</v>
      </c>
      <c r="M157" s="13">
        <f t="shared" si="4"/>
        <v>0</v>
      </c>
      <c r="N157" s="8" t="s">
        <v>90</v>
      </c>
      <c r="O157" s="20" t="s">
        <v>203</v>
      </c>
      <c r="P157" s="8">
        <v>2</v>
      </c>
      <c r="Q157" s="8">
        <v>23</v>
      </c>
      <c r="R157" s="8">
        <v>2</v>
      </c>
      <c r="S157" s="8">
        <v>2</v>
      </c>
      <c r="T157" s="8">
        <v>0</v>
      </c>
      <c r="U157" s="8"/>
      <c r="V157" s="8" t="s">
        <v>30</v>
      </c>
      <c r="W157" s="8"/>
    </row>
    <row r="158" spans="1:23" x14ac:dyDescent="0.35">
      <c r="A158" s="18" t="s">
        <v>275</v>
      </c>
      <c r="B158" s="18" t="s">
        <v>276</v>
      </c>
      <c r="C158" s="16" t="s">
        <v>556</v>
      </c>
      <c r="D158" s="18" t="s">
        <v>23</v>
      </c>
      <c r="E158" s="9" t="s">
        <v>277</v>
      </c>
      <c r="F158" s="9"/>
      <c r="G158" s="26" t="s">
        <v>25</v>
      </c>
      <c r="H158" s="25" t="s">
        <v>26</v>
      </c>
      <c r="I158" s="25"/>
      <c r="J158" s="15"/>
      <c r="K158" s="8">
        <v>22051</v>
      </c>
      <c r="L158" s="13">
        <v>22051</v>
      </c>
      <c r="M158" s="13">
        <f t="shared" si="4"/>
        <v>0</v>
      </c>
      <c r="N158" s="8" t="s">
        <v>90</v>
      </c>
      <c r="O158" s="20" t="s">
        <v>203</v>
      </c>
      <c r="P158" s="8">
        <v>2</v>
      </c>
      <c r="Q158" s="8">
        <v>22</v>
      </c>
      <c r="R158" s="8">
        <v>3</v>
      </c>
      <c r="S158" s="8">
        <v>3</v>
      </c>
      <c r="T158" s="8">
        <v>0</v>
      </c>
      <c r="U158" s="8"/>
      <c r="V158" s="8" t="s">
        <v>30</v>
      </c>
      <c r="W158" s="8"/>
    </row>
    <row r="159" spans="1:23" x14ac:dyDescent="0.35">
      <c r="A159" s="18" t="s">
        <v>275</v>
      </c>
      <c r="B159" s="18" t="s">
        <v>288</v>
      </c>
      <c r="C159" s="16" t="s">
        <v>562</v>
      </c>
      <c r="D159" s="18" t="s">
        <v>23</v>
      </c>
      <c r="E159" s="9" t="s">
        <v>277</v>
      </c>
      <c r="F159" s="9"/>
      <c r="G159" s="26" t="s">
        <v>25</v>
      </c>
      <c r="H159" s="25" t="s">
        <v>26</v>
      </c>
      <c r="I159" s="25"/>
      <c r="J159" s="15"/>
      <c r="K159" s="8">
        <v>22051</v>
      </c>
      <c r="L159" s="13">
        <v>22051</v>
      </c>
      <c r="M159" s="13">
        <f t="shared" si="4"/>
        <v>0</v>
      </c>
      <c r="N159" s="8" t="s">
        <v>90</v>
      </c>
      <c r="O159" s="20" t="s">
        <v>203</v>
      </c>
      <c r="P159" s="8">
        <v>2</v>
      </c>
      <c r="Q159" s="8">
        <v>24</v>
      </c>
      <c r="R159" s="8">
        <v>1</v>
      </c>
      <c r="S159" s="8">
        <v>1</v>
      </c>
      <c r="T159" s="8">
        <v>0</v>
      </c>
      <c r="U159" s="8"/>
      <c r="V159" s="8" t="s">
        <v>30</v>
      </c>
      <c r="W159" s="8"/>
    </row>
    <row r="160" spans="1:23" x14ac:dyDescent="0.35">
      <c r="A160" s="18" t="s">
        <v>275</v>
      </c>
      <c r="B160" s="18" t="s">
        <v>296</v>
      </c>
      <c r="C160" s="16" t="s">
        <v>567</v>
      </c>
      <c r="D160" s="18" t="s">
        <v>23</v>
      </c>
      <c r="E160" s="9" t="s">
        <v>283</v>
      </c>
      <c r="F160" s="9"/>
      <c r="G160" s="26" t="s">
        <v>25</v>
      </c>
      <c r="H160" s="25" t="s">
        <v>26</v>
      </c>
      <c r="I160" s="25"/>
      <c r="J160" s="15"/>
      <c r="K160" s="8">
        <v>20735</v>
      </c>
      <c r="L160" s="13">
        <v>20735</v>
      </c>
      <c r="M160" s="13">
        <f t="shared" si="4"/>
        <v>0</v>
      </c>
      <c r="N160" s="8" t="s">
        <v>90</v>
      </c>
      <c r="O160" s="20" t="s">
        <v>203</v>
      </c>
      <c r="P160" s="8">
        <v>2</v>
      </c>
      <c r="Q160" s="8">
        <v>24</v>
      </c>
      <c r="R160" s="8">
        <v>1</v>
      </c>
      <c r="S160" s="8">
        <v>1</v>
      </c>
      <c r="T160" s="8">
        <v>0</v>
      </c>
      <c r="U160" s="8"/>
      <c r="V160" s="8" t="s">
        <v>30</v>
      </c>
      <c r="W160" s="8"/>
    </row>
    <row r="161" spans="1:23" x14ac:dyDescent="0.35">
      <c r="A161" s="18" t="s">
        <v>275</v>
      </c>
      <c r="B161" s="18" t="s">
        <v>282</v>
      </c>
      <c r="C161" s="16" t="s">
        <v>559</v>
      </c>
      <c r="D161" s="18" t="s">
        <v>23</v>
      </c>
      <c r="E161" s="9" t="s">
        <v>283</v>
      </c>
      <c r="F161" s="9"/>
      <c r="G161" s="26" t="s">
        <v>25</v>
      </c>
      <c r="H161" s="25" t="s">
        <v>26</v>
      </c>
      <c r="I161" s="25"/>
      <c r="J161" s="15"/>
      <c r="K161" s="8">
        <v>20735</v>
      </c>
      <c r="L161" s="13">
        <v>20735</v>
      </c>
      <c r="M161" s="13">
        <f t="shared" ref="M161:M180" si="5">K161-L161</f>
        <v>0</v>
      </c>
      <c r="N161" s="8" t="s">
        <v>90</v>
      </c>
      <c r="O161" s="20" t="s">
        <v>203</v>
      </c>
      <c r="P161" s="8">
        <v>2</v>
      </c>
      <c r="Q161" s="8">
        <v>24</v>
      </c>
      <c r="R161" s="8">
        <v>1</v>
      </c>
      <c r="S161" s="8">
        <v>1</v>
      </c>
      <c r="T161" s="8">
        <v>0</v>
      </c>
      <c r="U161" s="8"/>
      <c r="V161" s="8" t="s">
        <v>30</v>
      </c>
      <c r="W161" s="8"/>
    </row>
    <row r="162" spans="1:23" x14ac:dyDescent="0.35">
      <c r="A162" s="18" t="s">
        <v>275</v>
      </c>
      <c r="B162" s="18" t="s">
        <v>291</v>
      </c>
      <c r="C162" s="16" t="s">
        <v>564</v>
      </c>
      <c r="D162" s="18" t="s">
        <v>23</v>
      </c>
      <c r="E162" s="9" t="s">
        <v>279</v>
      </c>
      <c r="F162" s="9"/>
      <c r="G162" s="26" t="s">
        <v>25</v>
      </c>
      <c r="H162" s="25" t="s">
        <v>26</v>
      </c>
      <c r="I162" s="25"/>
      <c r="J162" s="15"/>
      <c r="K162" s="8">
        <v>20735</v>
      </c>
      <c r="L162" s="13">
        <v>20735</v>
      </c>
      <c r="M162" s="13">
        <f t="shared" si="5"/>
        <v>0</v>
      </c>
      <c r="N162" s="8" t="s">
        <v>90</v>
      </c>
      <c r="O162" s="20" t="s">
        <v>203</v>
      </c>
      <c r="P162" s="8">
        <v>2</v>
      </c>
      <c r="Q162" s="8">
        <v>25</v>
      </c>
      <c r="R162" s="8">
        <v>0</v>
      </c>
      <c r="S162" s="8">
        <v>0</v>
      </c>
      <c r="T162" s="8">
        <v>0</v>
      </c>
      <c r="U162" s="8"/>
      <c r="V162" s="8" t="s">
        <v>30</v>
      </c>
      <c r="W162" s="8"/>
    </row>
    <row r="163" spans="1:23" x14ac:dyDescent="0.35">
      <c r="A163" s="18" t="s">
        <v>275</v>
      </c>
      <c r="B163" s="18" t="s">
        <v>278</v>
      </c>
      <c r="C163" s="16" t="s">
        <v>557</v>
      </c>
      <c r="D163" s="18" t="s">
        <v>23</v>
      </c>
      <c r="E163" s="9" t="s">
        <v>279</v>
      </c>
      <c r="F163" s="9"/>
      <c r="G163" s="26" t="s">
        <v>25</v>
      </c>
      <c r="H163" s="25" t="s">
        <v>26</v>
      </c>
      <c r="I163" s="25"/>
      <c r="J163" s="15"/>
      <c r="K163" s="8">
        <v>20735</v>
      </c>
      <c r="L163" s="13">
        <v>20735</v>
      </c>
      <c r="M163" s="13">
        <f t="shared" si="5"/>
        <v>0</v>
      </c>
      <c r="N163" s="8" t="s">
        <v>90</v>
      </c>
      <c r="O163" s="20" t="s">
        <v>203</v>
      </c>
      <c r="P163" s="8">
        <v>2</v>
      </c>
      <c r="Q163" s="8">
        <v>23</v>
      </c>
      <c r="R163" s="8">
        <v>2</v>
      </c>
      <c r="S163" s="8">
        <v>2</v>
      </c>
      <c r="T163" s="8">
        <v>0</v>
      </c>
      <c r="U163" s="8"/>
      <c r="V163" s="8" t="s">
        <v>30</v>
      </c>
      <c r="W163" s="8"/>
    </row>
    <row r="164" spans="1:23" x14ac:dyDescent="0.35">
      <c r="A164" s="18" t="s">
        <v>275</v>
      </c>
      <c r="B164" s="18" t="s">
        <v>300</v>
      </c>
      <c r="C164" s="16" t="s">
        <v>570</v>
      </c>
      <c r="D164" s="18" t="s">
        <v>23</v>
      </c>
      <c r="E164" s="9" t="s">
        <v>301</v>
      </c>
      <c r="F164" s="9"/>
      <c r="G164" s="26" t="s">
        <v>25</v>
      </c>
      <c r="H164" s="25" t="s">
        <v>26</v>
      </c>
      <c r="I164" s="25"/>
      <c r="J164" s="15"/>
      <c r="K164" s="8">
        <v>20735</v>
      </c>
      <c r="L164" s="13">
        <v>20735</v>
      </c>
      <c r="M164" s="13">
        <f t="shared" si="5"/>
        <v>0</v>
      </c>
      <c r="N164" s="8" t="s">
        <v>90</v>
      </c>
      <c r="O164" s="20" t="s">
        <v>203</v>
      </c>
      <c r="P164" s="8">
        <v>2</v>
      </c>
      <c r="Q164" s="8">
        <v>24</v>
      </c>
      <c r="R164" s="8">
        <v>1</v>
      </c>
      <c r="S164" s="8">
        <v>1</v>
      </c>
      <c r="T164" s="8">
        <v>0</v>
      </c>
      <c r="U164" s="8"/>
      <c r="V164" s="8" t="s">
        <v>30</v>
      </c>
      <c r="W164" s="8"/>
    </row>
    <row r="165" spans="1:23" x14ac:dyDescent="0.35">
      <c r="A165" s="18" t="s">
        <v>275</v>
      </c>
      <c r="B165" s="18" t="s">
        <v>297</v>
      </c>
      <c r="C165" s="16" t="s">
        <v>568</v>
      </c>
      <c r="D165" s="18" t="s">
        <v>23</v>
      </c>
      <c r="E165" s="9" t="s">
        <v>298</v>
      </c>
      <c r="F165" s="9"/>
      <c r="G165" s="26" t="s">
        <v>25</v>
      </c>
      <c r="H165" s="25" t="s">
        <v>26</v>
      </c>
      <c r="I165" s="25"/>
      <c r="J165" s="15"/>
      <c r="K165" s="8">
        <v>20735</v>
      </c>
      <c r="L165" s="13">
        <v>20735</v>
      </c>
      <c r="M165" s="13">
        <f t="shared" si="5"/>
        <v>0</v>
      </c>
      <c r="N165" s="8" t="s">
        <v>90</v>
      </c>
      <c r="O165" s="20" t="s">
        <v>203</v>
      </c>
      <c r="P165" s="8">
        <v>2</v>
      </c>
      <c r="Q165" s="8">
        <v>24</v>
      </c>
      <c r="R165" s="8">
        <v>1</v>
      </c>
      <c r="S165" s="8">
        <v>1</v>
      </c>
      <c r="T165" s="8">
        <v>0</v>
      </c>
      <c r="U165" s="8"/>
      <c r="V165" s="8" t="s">
        <v>30</v>
      </c>
      <c r="W165" s="8"/>
    </row>
    <row r="166" spans="1:23" x14ac:dyDescent="0.35">
      <c r="A166" s="18" t="s">
        <v>275</v>
      </c>
      <c r="B166" s="18" t="s">
        <v>299</v>
      </c>
      <c r="C166" s="16" t="s">
        <v>569</v>
      </c>
      <c r="D166" s="18" t="s">
        <v>23</v>
      </c>
      <c r="E166" s="9" t="s">
        <v>290</v>
      </c>
      <c r="F166" s="9"/>
      <c r="G166" s="26" t="s">
        <v>25</v>
      </c>
      <c r="H166" s="25" t="s">
        <v>26</v>
      </c>
      <c r="I166" s="25"/>
      <c r="J166" s="15"/>
      <c r="K166" s="8">
        <v>20735</v>
      </c>
      <c r="L166" s="13">
        <v>20735</v>
      </c>
      <c r="M166" s="13">
        <f t="shared" si="5"/>
        <v>0</v>
      </c>
      <c r="N166" s="8" t="s">
        <v>90</v>
      </c>
      <c r="O166" s="20" t="s">
        <v>203</v>
      </c>
      <c r="P166" s="8">
        <v>2</v>
      </c>
      <c r="Q166" s="8">
        <v>25</v>
      </c>
      <c r="R166" s="8">
        <v>0</v>
      </c>
      <c r="S166" s="8">
        <v>0</v>
      </c>
      <c r="T166" s="8">
        <v>0</v>
      </c>
      <c r="U166" s="8"/>
      <c r="V166" s="8" t="s">
        <v>30</v>
      </c>
      <c r="W166" s="8"/>
    </row>
    <row r="167" spans="1:23" x14ac:dyDescent="0.35">
      <c r="A167" s="18" t="s">
        <v>275</v>
      </c>
      <c r="B167" s="18" t="s">
        <v>289</v>
      </c>
      <c r="C167" s="16" t="s">
        <v>563</v>
      </c>
      <c r="D167" s="18" t="s">
        <v>23</v>
      </c>
      <c r="E167" s="9" t="s">
        <v>290</v>
      </c>
      <c r="F167" s="9"/>
      <c r="G167" s="26" t="s">
        <v>25</v>
      </c>
      <c r="H167" s="25" t="s">
        <v>26</v>
      </c>
      <c r="I167" s="25"/>
      <c r="J167" s="15"/>
      <c r="K167" s="8">
        <v>20735</v>
      </c>
      <c r="L167" s="13">
        <v>20735</v>
      </c>
      <c r="M167" s="13">
        <f t="shared" si="5"/>
        <v>0</v>
      </c>
      <c r="N167" s="8" t="s">
        <v>90</v>
      </c>
      <c r="O167" s="20" t="s">
        <v>203</v>
      </c>
      <c r="P167" s="8">
        <v>2</v>
      </c>
      <c r="Q167" s="8">
        <v>23</v>
      </c>
      <c r="R167" s="8">
        <v>2</v>
      </c>
      <c r="S167" s="8">
        <v>2</v>
      </c>
      <c r="T167" s="8">
        <v>0</v>
      </c>
      <c r="U167" s="8"/>
      <c r="V167" s="8" t="s">
        <v>30</v>
      </c>
      <c r="W167" s="8"/>
    </row>
    <row r="168" spans="1:23" x14ac:dyDescent="0.35">
      <c r="A168" s="18" t="s">
        <v>275</v>
      </c>
      <c r="B168" s="18" t="s">
        <v>302</v>
      </c>
      <c r="C168" s="16" t="s">
        <v>571</v>
      </c>
      <c r="D168" s="18" t="s">
        <v>23</v>
      </c>
      <c r="E168" s="9" t="s">
        <v>295</v>
      </c>
      <c r="F168" s="9"/>
      <c r="G168" s="26" t="s">
        <v>25</v>
      </c>
      <c r="H168" s="25" t="s">
        <v>26</v>
      </c>
      <c r="I168" s="25"/>
      <c r="J168" s="15"/>
      <c r="K168" s="8">
        <v>20735</v>
      </c>
      <c r="L168" s="13">
        <v>20735</v>
      </c>
      <c r="M168" s="13">
        <f t="shared" si="5"/>
        <v>0</v>
      </c>
      <c r="N168" s="8" t="s">
        <v>90</v>
      </c>
      <c r="O168" s="20" t="s">
        <v>203</v>
      </c>
      <c r="P168" s="8">
        <v>2</v>
      </c>
      <c r="Q168" s="8">
        <v>24</v>
      </c>
      <c r="R168" s="8">
        <v>1</v>
      </c>
      <c r="S168" s="8">
        <v>1</v>
      </c>
      <c r="T168" s="8">
        <v>0</v>
      </c>
      <c r="U168" s="8"/>
      <c r="V168" s="8" t="s">
        <v>30</v>
      </c>
      <c r="W168" s="8"/>
    </row>
    <row r="169" spans="1:23" x14ac:dyDescent="0.35">
      <c r="A169" s="18" t="s">
        <v>275</v>
      </c>
      <c r="B169" s="18" t="s">
        <v>294</v>
      </c>
      <c r="C169" s="16" t="s">
        <v>566</v>
      </c>
      <c r="D169" s="18" t="s">
        <v>23</v>
      </c>
      <c r="E169" s="9" t="s">
        <v>295</v>
      </c>
      <c r="F169" s="9"/>
      <c r="G169" s="26" t="s">
        <v>25</v>
      </c>
      <c r="H169" s="25" t="s">
        <v>26</v>
      </c>
      <c r="I169" s="25"/>
      <c r="J169" s="15"/>
      <c r="K169" s="8">
        <v>20735</v>
      </c>
      <c r="L169" s="13">
        <v>20735</v>
      </c>
      <c r="M169" s="13">
        <f t="shared" si="5"/>
        <v>0</v>
      </c>
      <c r="N169" s="8" t="s">
        <v>90</v>
      </c>
      <c r="O169" s="20" t="s">
        <v>203</v>
      </c>
      <c r="P169" s="8">
        <v>2</v>
      </c>
      <c r="Q169" s="8">
        <v>20</v>
      </c>
      <c r="R169" s="8">
        <v>5</v>
      </c>
      <c r="S169" s="8">
        <v>5</v>
      </c>
      <c r="T169" s="8">
        <v>0</v>
      </c>
      <c r="U169" s="8"/>
      <c r="V169" s="8" t="s">
        <v>30</v>
      </c>
      <c r="W169" s="8"/>
    </row>
    <row r="170" spans="1:23" x14ac:dyDescent="0.35">
      <c r="A170" s="18" t="s">
        <v>303</v>
      </c>
      <c r="B170" s="18" t="s">
        <v>306</v>
      </c>
      <c r="C170" s="16" t="s">
        <v>573</v>
      </c>
      <c r="D170" s="18" t="s">
        <v>23</v>
      </c>
      <c r="E170" s="9" t="s">
        <v>307</v>
      </c>
      <c r="F170" s="9"/>
      <c r="G170" s="26" t="s">
        <v>25</v>
      </c>
      <c r="H170" s="25" t="s">
        <v>26</v>
      </c>
      <c r="I170" s="25"/>
      <c r="J170" s="15"/>
      <c r="K170" s="8">
        <v>27297</v>
      </c>
      <c r="L170" s="13">
        <v>27297</v>
      </c>
      <c r="M170" s="13">
        <f t="shared" si="5"/>
        <v>0</v>
      </c>
      <c r="N170" s="8" t="s">
        <v>90</v>
      </c>
      <c r="O170" s="20" t="s">
        <v>29</v>
      </c>
      <c r="P170" s="8">
        <v>2</v>
      </c>
      <c r="Q170" s="8">
        <v>18</v>
      </c>
      <c r="R170" s="8">
        <v>2</v>
      </c>
      <c r="S170" s="8">
        <v>2</v>
      </c>
      <c r="T170" s="8">
        <v>0</v>
      </c>
      <c r="U170" s="8"/>
      <c r="V170" s="8" t="s">
        <v>30</v>
      </c>
      <c r="W170" s="8"/>
    </row>
    <row r="171" spans="1:23" x14ac:dyDescent="0.35">
      <c r="A171" s="18" t="s">
        <v>303</v>
      </c>
      <c r="B171" s="18" t="s">
        <v>304</v>
      </c>
      <c r="C171" s="16" t="s">
        <v>572</v>
      </c>
      <c r="D171" s="18" t="s">
        <v>23</v>
      </c>
      <c r="E171" s="9" t="s">
        <v>305</v>
      </c>
      <c r="F171" s="9"/>
      <c r="G171" s="26" t="s">
        <v>25</v>
      </c>
      <c r="H171" s="25" t="s">
        <v>26</v>
      </c>
      <c r="I171" s="25"/>
      <c r="J171" s="15"/>
      <c r="K171" s="8">
        <v>29522</v>
      </c>
      <c r="L171" s="13">
        <v>29522</v>
      </c>
      <c r="M171" s="13">
        <f t="shared" si="5"/>
        <v>0</v>
      </c>
      <c r="N171" s="8" t="s">
        <v>90</v>
      </c>
      <c r="O171" s="20" t="s">
        <v>29</v>
      </c>
      <c r="P171" s="8">
        <v>2</v>
      </c>
      <c r="Q171" s="8">
        <v>20</v>
      </c>
      <c r="R171" s="8">
        <v>0</v>
      </c>
      <c r="S171" s="8">
        <v>0</v>
      </c>
      <c r="T171" s="8">
        <v>0</v>
      </c>
      <c r="U171" s="8"/>
      <c r="V171" s="8" t="s">
        <v>30</v>
      </c>
      <c r="W171" s="8"/>
    </row>
    <row r="172" spans="1:23" x14ac:dyDescent="0.35">
      <c r="A172" s="18" t="s">
        <v>308</v>
      </c>
      <c r="B172" s="18" t="s">
        <v>309</v>
      </c>
      <c r="C172" s="14" t="s">
        <v>424</v>
      </c>
      <c r="D172" s="18" t="s">
        <v>23</v>
      </c>
      <c r="E172" s="9" t="s">
        <v>310</v>
      </c>
      <c r="F172" s="9"/>
      <c r="G172" s="26" t="s">
        <v>25</v>
      </c>
      <c r="H172" s="25" t="s">
        <v>218</v>
      </c>
      <c r="I172" s="25" t="s">
        <v>257</v>
      </c>
      <c r="J172" s="15"/>
      <c r="K172" s="19">
        <v>108333</v>
      </c>
      <c r="L172" s="13">
        <v>108333</v>
      </c>
      <c r="M172" s="13">
        <f t="shared" si="5"/>
        <v>0</v>
      </c>
      <c r="N172" s="19" t="s">
        <v>90</v>
      </c>
      <c r="O172" s="20" t="s">
        <v>29</v>
      </c>
      <c r="P172" s="8">
        <v>2</v>
      </c>
      <c r="Q172" s="8">
        <v>18</v>
      </c>
      <c r="R172" s="8">
        <v>2</v>
      </c>
      <c r="S172" s="8">
        <v>2</v>
      </c>
      <c r="T172" s="8" t="s">
        <v>94</v>
      </c>
      <c r="U172" s="8"/>
      <c r="V172" s="8" t="s">
        <v>30</v>
      </c>
      <c r="W172" s="8"/>
    </row>
    <row r="173" spans="1:23" x14ac:dyDescent="0.35">
      <c r="A173" s="18" t="s">
        <v>311</v>
      </c>
      <c r="B173" s="28" t="s">
        <v>318</v>
      </c>
      <c r="C173" s="16" t="s">
        <v>577</v>
      </c>
      <c r="D173" s="18" t="s">
        <v>23</v>
      </c>
      <c r="E173" s="9" t="s">
        <v>319</v>
      </c>
      <c r="F173" s="9"/>
      <c r="G173" s="26" t="s">
        <v>25</v>
      </c>
      <c r="H173" s="25" t="s">
        <v>26</v>
      </c>
      <c r="I173" s="26" t="s">
        <v>257</v>
      </c>
      <c r="J173" s="17"/>
      <c r="K173" s="19">
        <v>85804</v>
      </c>
      <c r="L173" s="13">
        <v>85804</v>
      </c>
      <c r="M173" s="13">
        <f t="shared" si="5"/>
        <v>0</v>
      </c>
      <c r="N173" s="19" t="s">
        <v>90</v>
      </c>
      <c r="O173" s="20" t="s">
        <v>29</v>
      </c>
      <c r="P173" s="8">
        <v>2</v>
      </c>
      <c r="Q173" s="8">
        <v>20</v>
      </c>
      <c r="R173" s="8" t="s">
        <v>94</v>
      </c>
      <c r="S173" s="8" t="s">
        <v>94</v>
      </c>
      <c r="T173" s="8" t="s">
        <v>94</v>
      </c>
      <c r="U173" s="8"/>
      <c r="V173" s="8" t="s">
        <v>30</v>
      </c>
      <c r="W173" s="8"/>
    </row>
    <row r="174" spans="1:23" x14ac:dyDescent="0.35">
      <c r="A174" s="18" t="s">
        <v>311</v>
      </c>
      <c r="B174" s="18" t="s">
        <v>316</v>
      </c>
      <c r="C174" s="16" t="s">
        <v>576</v>
      </c>
      <c r="D174" s="18" t="s">
        <v>23</v>
      </c>
      <c r="E174" s="9" t="s">
        <v>317</v>
      </c>
      <c r="F174" s="9"/>
      <c r="G174" s="26" t="s">
        <v>25</v>
      </c>
      <c r="H174" s="25" t="s">
        <v>26</v>
      </c>
      <c r="I174" s="26" t="s">
        <v>257</v>
      </c>
      <c r="J174" s="17"/>
      <c r="K174" s="19">
        <v>108333</v>
      </c>
      <c r="L174" s="13">
        <v>108333</v>
      </c>
      <c r="M174" s="13">
        <f t="shared" si="5"/>
        <v>0</v>
      </c>
      <c r="N174" s="19" t="s">
        <v>90</v>
      </c>
      <c r="O174" s="20" t="s">
        <v>29</v>
      </c>
      <c r="P174" s="8">
        <v>2</v>
      </c>
      <c r="Q174" s="8">
        <v>13</v>
      </c>
      <c r="R174" s="8">
        <v>10</v>
      </c>
      <c r="S174" s="8">
        <v>2</v>
      </c>
      <c r="T174" s="8" t="s">
        <v>94</v>
      </c>
      <c r="U174" s="8"/>
      <c r="V174" s="8" t="s">
        <v>30</v>
      </c>
      <c r="W174" s="8"/>
    </row>
    <row r="175" spans="1:23" x14ac:dyDescent="0.35">
      <c r="A175" s="18" t="s">
        <v>311</v>
      </c>
      <c r="B175" s="18" t="s">
        <v>322</v>
      </c>
      <c r="C175" s="16" t="s">
        <v>580</v>
      </c>
      <c r="D175" s="18" t="s">
        <v>23</v>
      </c>
      <c r="E175" s="9" t="s">
        <v>323</v>
      </c>
      <c r="F175" s="9"/>
      <c r="G175" s="26" t="s">
        <v>25</v>
      </c>
      <c r="H175" s="25" t="s">
        <v>26</v>
      </c>
      <c r="I175" s="26" t="s">
        <v>27</v>
      </c>
      <c r="J175" s="17"/>
      <c r="K175" s="19">
        <v>40000</v>
      </c>
      <c r="L175" s="13">
        <v>40000</v>
      </c>
      <c r="M175" s="13">
        <f t="shared" si="5"/>
        <v>0</v>
      </c>
      <c r="N175" s="19" t="s">
        <v>90</v>
      </c>
      <c r="O175" s="20" t="s">
        <v>29</v>
      </c>
      <c r="P175" s="8">
        <v>2</v>
      </c>
      <c r="Q175" s="8">
        <v>20</v>
      </c>
      <c r="R175" s="8" t="s">
        <v>94</v>
      </c>
      <c r="S175" s="8" t="s">
        <v>94</v>
      </c>
      <c r="T175" s="8" t="s">
        <v>94</v>
      </c>
      <c r="U175" s="8"/>
      <c r="V175" s="8" t="s">
        <v>30</v>
      </c>
      <c r="W175" s="8"/>
    </row>
    <row r="176" spans="1:23" x14ac:dyDescent="0.35">
      <c r="A176" s="18" t="s">
        <v>311</v>
      </c>
      <c r="B176" s="18" t="s">
        <v>320</v>
      </c>
      <c r="C176" s="16" t="s">
        <v>579</v>
      </c>
      <c r="D176" s="18" t="s">
        <v>23</v>
      </c>
      <c r="E176" s="9" t="s">
        <v>321</v>
      </c>
      <c r="F176" s="9"/>
      <c r="G176" s="26" t="s">
        <v>25</v>
      </c>
      <c r="H176" s="25" t="s">
        <v>26</v>
      </c>
      <c r="I176" s="26" t="s">
        <v>27</v>
      </c>
      <c r="J176" s="17"/>
      <c r="K176" s="19">
        <v>73800</v>
      </c>
      <c r="L176" s="13">
        <v>73800</v>
      </c>
      <c r="M176" s="13">
        <f t="shared" si="5"/>
        <v>0</v>
      </c>
      <c r="N176" s="19" t="s">
        <v>90</v>
      </c>
      <c r="O176" s="20" t="s">
        <v>29</v>
      </c>
      <c r="P176" s="8">
        <v>2</v>
      </c>
      <c r="Q176" s="8">
        <v>17</v>
      </c>
      <c r="R176" s="8">
        <v>3</v>
      </c>
      <c r="S176" s="8">
        <v>2</v>
      </c>
      <c r="T176" s="8" t="s">
        <v>94</v>
      </c>
      <c r="U176" s="8"/>
      <c r="V176" s="8" t="s">
        <v>30</v>
      </c>
      <c r="W176" s="8"/>
    </row>
    <row r="177" spans="1:23" x14ac:dyDescent="0.35">
      <c r="A177" s="18" t="s">
        <v>311</v>
      </c>
      <c r="B177" s="18" t="s">
        <v>312</v>
      </c>
      <c r="C177" s="16" t="s">
        <v>574</v>
      </c>
      <c r="D177" s="18" t="s">
        <v>23</v>
      </c>
      <c r="E177" s="9" t="s">
        <v>313</v>
      </c>
      <c r="F177" s="9"/>
      <c r="G177" s="26" t="s">
        <v>25</v>
      </c>
      <c r="H177" s="25" t="s">
        <v>26</v>
      </c>
      <c r="I177" s="26" t="s">
        <v>27</v>
      </c>
      <c r="J177" s="17"/>
      <c r="K177" s="19">
        <v>77100</v>
      </c>
      <c r="L177" s="13">
        <v>77100</v>
      </c>
      <c r="M177" s="13">
        <f t="shared" si="5"/>
        <v>0</v>
      </c>
      <c r="N177" s="19" t="s">
        <v>90</v>
      </c>
      <c r="O177" s="20" t="s">
        <v>29</v>
      </c>
      <c r="P177" s="8">
        <v>2</v>
      </c>
      <c r="Q177" s="8">
        <v>20</v>
      </c>
      <c r="R177" s="8" t="s">
        <v>94</v>
      </c>
      <c r="S177" s="8" t="s">
        <v>94</v>
      </c>
      <c r="T177" s="8" t="s">
        <v>94</v>
      </c>
      <c r="U177" s="8"/>
      <c r="V177" s="8" t="s">
        <v>30</v>
      </c>
      <c r="W177" s="8"/>
    </row>
    <row r="178" spans="1:23" x14ac:dyDescent="0.35">
      <c r="A178" s="18" t="s">
        <v>311</v>
      </c>
      <c r="B178" s="18" t="s">
        <v>314</v>
      </c>
      <c r="C178" s="16" t="s">
        <v>575</v>
      </c>
      <c r="D178" s="18" t="s">
        <v>23</v>
      </c>
      <c r="E178" s="9" t="s">
        <v>315</v>
      </c>
      <c r="F178" s="9"/>
      <c r="G178" s="26" t="s">
        <v>25</v>
      </c>
      <c r="H178" s="25" t="s">
        <v>26</v>
      </c>
      <c r="I178" s="26" t="s">
        <v>257</v>
      </c>
      <c r="J178" s="17"/>
      <c r="K178" s="19">
        <v>100000</v>
      </c>
      <c r="L178" s="13">
        <v>100000</v>
      </c>
      <c r="M178" s="13">
        <f t="shared" si="5"/>
        <v>0</v>
      </c>
      <c r="N178" s="19" t="s">
        <v>90</v>
      </c>
      <c r="O178" s="20" t="s">
        <v>29</v>
      </c>
      <c r="P178" s="8">
        <v>2</v>
      </c>
      <c r="Q178" s="8">
        <v>20</v>
      </c>
      <c r="R178" s="8" t="s">
        <v>94</v>
      </c>
      <c r="S178" s="8" t="s">
        <v>94</v>
      </c>
      <c r="T178" s="8" t="s">
        <v>94</v>
      </c>
      <c r="U178" s="8"/>
      <c r="V178" s="8" t="s">
        <v>30</v>
      </c>
      <c r="W178" s="8"/>
    </row>
    <row r="179" spans="1:23" x14ac:dyDescent="0.35">
      <c r="A179" s="18" t="s">
        <v>311</v>
      </c>
      <c r="B179" s="33" t="s">
        <v>398</v>
      </c>
      <c r="C179" s="16" t="s">
        <v>578</v>
      </c>
      <c r="D179" s="18" t="s">
        <v>23</v>
      </c>
      <c r="E179" s="14" t="s">
        <v>399</v>
      </c>
      <c r="F179" s="14"/>
      <c r="G179" s="26" t="s">
        <v>334</v>
      </c>
      <c r="H179" s="25" t="s">
        <v>26</v>
      </c>
      <c r="I179" s="18" t="s">
        <v>27</v>
      </c>
      <c r="J179" s="8"/>
      <c r="K179" s="8">
        <v>83333</v>
      </c>
      <c r="L179" s="13">
        <v>83333</v>
      </c>
      <c r="M179" s="13">
        <f t="shared" si="5"/>
        <v>0</v>
      </c>
      <c r="N179" s="19" t="s">
        <v>90</v>
      </c>
      <c r="O179" s="20" t="s">
        <v>29</v>
      </c>
      <c r="P179" s="8"/>
      <c r="Q179" s="8"/>
      <c r="R179" s="8"/>
      <c r="S179" s="8"/>
      <c r="T179" s="8"/>
      <c r="U179" s="8"/>
      <c r="V179" s="8" t="s">
        <v>30</v>
      </c>
      <c r="W179" s="8"/>
    </row>
    <row r="180" spans="1:23" x14ac:dyDescent="0.35">
      <c r="A180" s="18" t="s">
        <v>311</v>
      </c>
      <c r="B180" s="28" t="s">
        <v>600</v>
      </c>
      <c r="C180" s="18"/>
      <c r="D180" s="18" t="s">
        <v>23</v>
      </c>
      <c r="E180" s="9">
        <v>46076</v>
      </c>
      <c r="F180" s="9"/>
      <c r="G180" s="18" t="s">
        <v>334</v>
      </c>
      <c r="H180" s="25" t="s">
        <v>26</v>
      </c>
      <c r="I180" s="18" t="s">
        <v>27</v>
      </c>
      <c r="J180" s="8"/>
      <c r="K180" s="24">
        <v>83333</v>
      </c>
      <c r="L180" s="23">
        <v>83333</v>
      </c>
      <c r="M180" s="23">
        <f t="shared" si="5"/>
        <v>0</v>
      </c>
      <c r="N180" s="19" t="s">
        <v>90</v>
      </c>
      <c r="O180" s="20" t="s">
        <v>29</v>
      </c>
      <c r="P180" s="8"/>
      <c r="Q180" s="8"/>
      <c r="R180" s="8"/>
      <c r="S180" s="8"/>
      <c r="T180" s="8"/>
      <c r="U180" s="8"/>
      <c r="V180" s="8" t="s">
        <v>30</v>
      </c>
      <c r="W180" s="8"/>
    </row>
    <row r="181" spans="1:23" x14ac:dyDescent="0.35">
      <c r="S181" s="38"/>
    </row>
  </sheetData>
  <autoFilter ref="A1:W181">
    <sortState ref="A121:W124">
      <sortCondition ref="B121"/>
    </sortState>
  </autoFilter>
  <sortState ref="A2:V182">
    <sortCondition ref="A1:A182"/>
  </sortState>
  <conditionalFormatting sqref="C104:C1048576 C1:C34">
    <cfRule type="duplicateValues" dxfId="3" priority="12"/>
  </conditionalFormatting>
  <conditionalFormatting sqref="C45">
    <cfRule type="duplicateValues" dxfId="2" priority="2"/>
  </conditionalFormatting>
  <conditionalFormatting sqref="C46:C103 C35:C44">
    <cfRule type="duplicateValues" dxfId="1" priority="3"/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Validation'!$I$1:$I$4</xm:f>
          </x14:formula1>
          <xm:sqref>G1:G1048576</xm:sqref>
        </x14:dataValidation>
        <x14:dataValidation type="list" allowBlank="1" showInputMessage="1" showErrorMessage="1">
          <x14:formula1>
            <xm:f>'Data Validation'!$A$1:$A$3</xm:f>
          </x14:formula1>
          <xm:sqref>D1:D1048576</xm:sqref>
        </x14:dataValidation>
        <x14:dataValidation type="list" allowBlank="1" showInputMessage="1" showErrorMessage="1">
          <x14:formula1>
            <xm:f>'Data Validation'!$K$1:$K$2</xm:f>
          </x14:formula1>
          <xm:sqref>I1:I1048576</xm:sqref>
        </x14:dataValidation>
        <x14:dataValidation type="list" allowBlank="1" showInputMessage="1" showErrorMessage="1">
          <x14:formula1>
            <xm:f>'Data Validation'!$E$1:$E$2</xm:f>
          </x14:formula1>
          <xm:sqref>O1:O1048576</xm:sqref>
        </x14:dataValidation>
        <x14:dataValidation type="list" allowBlank="1" showInputMessage="1" showErrorMessage="1">
          <x14:formula1>
            <xm:f>'Data Validation'!$C$1:$C$2</xm:f>
          </x14:formula1>
          <xm:sqref>V1:V1048576</xm:sqref>
        </x14:dataValidation>
        <x14:dataValidation type="list" allowBlank="1" showInputMessage="1" showErrorMessage="1">
          <x14:formula1>
            <xm:f>'Data Validation'!$G$1:$G$4</xm:f>
          </x14:formula1>
          <xm:sqref>N1:N1048576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H6" sqref="H6"/>
    </sheetView>
  </sheetViews>
  <sheetFormatPr defaultRowHeight="14.5" x14ac:dyDescent="0.35"/>
  <sheetData>
    <row r="1" spans="1:11" x14ac:dyDescent="0.35">
      <c r="A1" t="s">
        <v>23</v>
      </c>
      <c r="C1" t="s">
        <v>30</v>
      </c>
      <c r="E1" t="s">
        <v>29</v>
      </c>
      <c r="G1" s="6" t="s">
        <v>90</v>
      </c>
      <c r="I1" t="s">
        <v>334</v>
      </c>
      <c r="K1" t="s">
        <v>257</v>
      </c>
    </row>
    <row r="2" spans="1:11" x14ac:dyDescent="0.35">
      <c r="A2" t="s">
        <v>32</v>
      </c>
      <c r="C2" t="s">
        <v>91</v>
      </c>
      <c r="E2" t="s">
        <v>203</v>
      </c>
      <c r="G2" s="5" t="s">
        <v>28</v>
      </c>
      <c r="I2" t="s">
        <v>25</v>
      </c>
      <c r="K2" t="s">
        <v>27</v>
      </c>
    </row>
    <row r="3" spans="1:11" x14ac:dyDescent="0.35">
      <c r="A3" t="s">
        <v>254</v>
      </c>
      <c r="G3" s="5" t="s">
        <v>225</v>
      </c>
      <c r="I3" t="s">
        <v>588</v>
      </c>
    </row>
    <row r="4" spans="1:11" x14ac:dyDescent="0.35">
      <c r="G4" s="5" t="s">
        <v>258</v>
      </c>
      <c r="I4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topLeftCell="A55" workbookViewId="0">
      <selection activeCell="A67" sqref="A67"/>
    </sheetView>
  </sheetViews>
  <sheetFormatPr defaultRowHeight="14.5" x14ac:dyDescent="0.35"/>
  <cols>
    <col min="1" max="1" width="21.36328125" customWidth="1"/>
    <col min="2" max="2" width="16.36328125" customWidth="1"/>
    <col min="3" max="3" width="15.7265625" customWidth="1"/>
    <col min="4" max="4" width="16.08984375" customWidth="1"/>
    <col min="5" max="5" width="15.1796875" customWidth="1"/>
    <col min="7" max="7" width="15.453125" customWidth="1"/>
    <col min="8" max="8" width="12.26953125" customWidth="1"/>
    <col min="9" max="9" width="9.6328125" customWidth="1"/>
    <col min="10" max="10" width="17.26953125" customWidth="1"/>
    <col min="14" max="14" width="12.453125" customWidth="1"/>
    <col min="15" max="15" width="11.90625" customWidth="1"/>
    <col min="16" max="16" width="14.90625" customWidth="1"/>
    <col min="17" max="17" width="14" customWidth="1"/>
    <col min="18" max="18" width="19.26953125" customWidth="1"/>
    <col min="19" max="19" width="19.36328125" customWidth="1"/>
    <col min="20" max="20" width="17.81640625" customWidth="1"/>
    <col min="21" max="21" width="9" customWidth="1"/>
    <col min="23" max="23" width="9.26953125" customWidth="1"/>
  </cols>
  <sheetData>
    <row r="1" spans="1:23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608</v>
      </c>
      <c r="G1" t="s">
        <v>5</v>
      </c>
      <c r="H1" t="s">
        <v>6</v>
      </c>
      <c r="I1" t="s">
        <v>7</v>
      </c>
      <c r="J1" t="s">
        <v>346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5">
      <c r="A2" t="s">
        <v>95</v>
      </c>
      <c r="B2" t="s">
        <v>597</v>
      </c>
      <c r="C2" t="s">
        <v>505</v>
      </c>
      <c r="D2" t="s">
        <v>23</v>
      </c>
      <c r="E2" s="37">
        <v>46055</v>
      </c>
      <c r="G2" t="s">
        <v>334</v>
      </c>
      <c r="H2" t="s">
        <v>26</v>
      </c>
      <c r="I2" t="s">
        <v>27</v>
      </c>
      <c r="J2" t="s">
        <v>352</v>
      </c>
      <c r="K2">
        <v>44117</v>
      </c>
      <c r="L2">
        <v>44117</v>
      </c>
      <c r="M2">
        <v>0</v>
      </c>
      <c r="N2" t="s">
        <v>28</v>
      </c>
      <c r="O2" t="s">
        <v>29</v>
      </c>
      <c r="P2">
        <v>0</v>
      </c>
      <c r="Q2">
        <v>15</v>
      </c>
      <c r="R2">
        <v>0</v>
      </c>
      <c r="S2">
        <v>0</v>
      </c>
      <c r="V2" t="s">
        <v>30</v>
      </c>
      <c r="W2" t="s">
        <v>334</v>
      </c>
    </row>
    <row r="3" spans="1:23" x14ac:dyDescent="0.35">
      <c r="A3" t="s">
        <v>95</v>
      </c>
      <c r="B3" t="s">
        <v>596</v>
      </c>
      <c r="C3" t="s">
        <v>423</v>
      </c>
      <c r="D3" t="s">
        <v>23</v>
      </c>
      <c r="E3" s="37">
        <v>46063</v>
      </c>
      <c r="G3" t="s">
        <v>334</v>
      </c>
      <c r="H3" t="s">
        <v>26</v>
      </c>
      <c r="I3" t="s">
        <v>27</v>
      </c>
      <c r="J3" t="s">
        <v>370</v>
      </c>
      <c r="K3">
        <v>35292</v>
      </c>
      <c r="L3">
        <v>35292</v>
      </c>
      <c r="M3">
        <v>0</v>
      </c>
      <c r="N3" t="s">
        <v>28</v>
      </c>
      <c r="O3" t="s">
        <v>29</v>
      </c>
      <c r="P3">
        <v>0</v>
      </c>
      <c r="Q3">
        <v>9</v>
      </c>
      <c r="R3">
        <v>0</v>
      </c>
      <c r="S3">
        <v>0</v>
      </c>
      <c r="V3" t="s">
        <v>30</v>
      </c>
      <c r="W3" t="s">
        <v>334</v>
      </c>
    </row>
    <row r="4" spans="1:23" x14ac:dyDescent="0.35">
      <c r="A4" t="s">
        <v>95</v>
      </c>
      <c r="B4" t="s">
        <v>595</v>
      </c>
      <c r="C4" t="s">
        <v>514</v>
      </c>
      <c r="D4" t="s">
        <v>23</v>
      </c>
      <c r="E4" s="37">
        <v>46045</v>
      </c>
      <c r="G4" t="s">
        <v>334</v>
      </c>
      <c r="H4" t="s">
        <v>26</v>
      </c>
      <c r="I4" t="s">
        <v>257</v>
      </c>
      <c r="J4" t="s">
        <v>369</v>
      </c>
      <c r="K4">
        <v>87500</v>
      </c>
      <c r="L4">
        <v>87500</v>
      </c>
      <c r="M4">
        <v>0</v>
      </c>
      <c r="N4" t="s">
        <v>28</v>
      </c>
      <c r="O4" t="s">
        <v>29</v>
      </c>
      <c r="P4">
        <v>1</v>
      </c>
      <c r="Q4">
        <v>20</v>
      </c>
      <c r="R4">
        <v>0</v>
      </c>
      <c r="S4">
        <v>0</v>
      </c>
      <c r="V4" t="s">
        <v>30</v>
      </c>
      <c r="W4" t="s">
        <v>334</v>
      </c>
    </row>
    <row r="5" spans="1:23" x14ac:dyDescent="0.35">
      <c r="A5" t="s">
        <v>95</v>
      </c>
      <c r="B5" t="s">
        <v>344</v>
      </c>
      <c r="C5" t="s">
        <v>499</v>
      </c>
      <c r="D5" t="s">
        <v>23</v>
      </c>
      <c r="E5" s="37">
        <v>46069</v>
      </c>
      <c r="G5" t="s">
        <v>334</v>
      </c>
      <c r="H5" t="s">
        <v>26</v>
      </c>
      <c r="I5" t="s">
        <v>257</v>
      </c>
      <c r="J5" t="s">
        <v>617</v>
      </c>
      <c r="K5">
        <v>108333</v>
      </c>
      <c r="L5">
        <v>108333</v>
      </c>
      <c r="M5">
        <v>0</v>
      </c>
      <c r="N5" t="s">
        <v>28</v>
      </c>
      <c r="O5" t="s">
        <v>29</v>
      </c>
      <c r="P5">
        <v>0</v>
      </c>
      <c r="Q5">
        <v>5</v>
      </c>
      <c r="R5">
        <v>0</v>
      </c>
      <c r="S5">
        <v>0</v>
      </c>
      <c r="V5" t="s">
        <v>30</v>
      </c>
      <c r="W5" t="s">
        <v>334</v>
      </c>
    </row>
    <row r="6" spans="1:23" x14ac:dyDescent="0.35">
      <c r="A6" t="s">
        <v>95</v>
      </c>
      <c r="B6" t="s">
        <v>343</v>
      </c>
      <c r="C6" t="s">
        <v>480</v>
      </c>
      <c r="D6" t="s">
        <v>23</v>
      </c>
      <c r="E6" s="37">
        <v>46055</v>
      </c>
      <c r="G6" t="s">
        <v>334</v>
      </c>
      <c r="H6" t="s">
        <v>26</v>
      </c>
      <c r="I6" t="s">
        <v>27</v>
      </c>
      <c r="J6" t="s">
        <v>370</v>
      </c>
      <c r="K6">
        <v>20087</v>
      </c>
      <c r="L6">
        <v>20087</v>
      </c>
      <c r="M6">
        <v>0</v>
      </c>
      <c r="N6" t="s">
        <v>28</v>
      </c>
      <c r="O6" t="s">
        <v>29</v>
      </c>
      <c r="P6">
        <v>0</v>
      </c>
      <c r="Q6">
        <v>15</v>
      </c>
      <c r="R6">
        <v>0</v>
      </c>
      <c r="S6">
        <v>0</v>
      </c>
      <c r="V6" t="s">
        <v>30</v>
      </c>
      <c r="W6" t="s">
        <v>334</v>
      </c>
    </row>
    <row r="7" spans="1:23" x14ac:dyDescent="0.35">
      <c r="A7" t="s">
        <v>95</v>
      </c>
      <c r="B7" t="s">
        <v>341</v>
      </c>
      <c r="C7" t="s">
        <v>493</v>
      </c>
      <c r="D7" t="s">
        <v>23</v>
      </c>
      <c r="E7" s="37">
        <v>46051</v>
      </c>
      <c r="G7" t="s">
        <v>334</v>
      </c>
      <c r="H7" t="s">
        <v>26</v>
      </c>
      <c r="I7" t="s">
        <v>27</v>
      </c>
      <c r="J7" t="s">
        <v>394</v>
      </c>
      <c r="K7">
        <v>34500</v>
      </c>
      <c r="L7">
        <v>34500</v>
      </c>
      <c r="M7">
        <v>0</v>
      </c>
      <c r="N7" t="s">
        <v>28</v>
      </c>
      <c r="O7" t="s">
        <v>29</v>
      </c>
      <c r="P7">
        <v>0</v>
      </c>
      <c r="Q7">
        <v>17</v>
      </c>
      <c r="R7">
        <v>0</v>
      </c>
      <c r="S7">
        <v>0</v>
      </c>
      <c r="V7" t="s">
        <v>30</v>
      </c>
      <c r="W7" t="s">
        <v>334</v>
      </c>
    </row>
    <row r="8" spans="1:23" x14ac:dyDescent="0.35">
      <c r="A8" t="s">
        <v>95</v>
      </c>
      <c r="B8" t="s">
        <v>342</v>
      </c>
      <c r="C8" t="s">
        <v>459</v>
      </c>
      <c r="D8" t="s">
        <v>23</v>
      </c>
      <c r="E8" s="37">
        <v>46055</v>
      </c>
      <c r="G8" t="s">
        <v>334</v>
      </c>
      <c r="H8" t="s">
        <v>26</v>
      </c>
      <c r="I8" t="s">
        <v>257</v>
      </c>
      <c r="J8" t="s">
        <v>366</v>
      </c>
      <c r="K8">
        <v>69300</v>
      </c>
      <c r="L8">
        <v>69300</v>
      </c>
      <c r="M8">
        <v>0</v>
      </c>
      <c r="N8" t="s">
        <v>28</v>
      </c>
      <c r="O8" t="s">
        <v>29</v>
      </c>
      <c r="P8">
        <v>0</v>
      </c>
      <c r="Q8">
        <v>15</v>
      </c>
      <c r="R8">
        <v>0</v>
      </c>
      <c r="S8">
        <v>0</v>
      </c>
      <c r="V8" t="s">
        <v>30</v>
      </c>
      <c r="W8" t="s">
        <v>334</v>
      </c>
    </row>
    <row r="9" spans="1:23" x14ac:dyDescent="0.35">
      <c r="A9" t="s">
        <v>95</v>
      </c>
      <c r="B9" t="s">
        <v>340</v>
      </c>
      <c r="C9" t="s">
        <v>487</v>
      </c>
      <c r="D9" t="s">
        <v>23</v>
      </c>
      <c r="E9" s="37">
        <v>46044</v>
      </c>
      <c r="G9" t="s">
        <v>334</v>
      </c>
      <c r="H9" t="s">
        <v>26</v>
      </c>
      <c r="I9" t="s">
        <v>257</v>
      </c>
      <c r="J9" t="s">
        <v>393</v>
      </c>
      <c r="K9">
        <v>75000</v>
      </c>
      <c r="L9">
        <v>75000</v>
      </c>
      <c r="M9">
        <v>0</v>
      </c>
      <c r="N9" t="s">
        <v>28</v>
      </c>
      <c r="O9" t="s">
        <v>29</v>
      </c>
      <c r="P9">
        <v>1</v>
      </c>
      <c r="Q9">
        <v>21</v>
      </c>
      <c r="R9">
        <v>0</v>
      </c>
      <c r="S9">
        <v>0</v>
      </c>
      <c r="V9" t="s">
        <v>30</v>
      </c>
      <c r="W9" t="s">
        <v>334</v>
      </c>
    </row>
    <row r="10" spans="1:23" x14ac:dyDescent="0.35">
      <c r="A10" t="s">
        <v>95</v>
      </c>
      <c r="B10" t="s">
        <v>594</v>
      </c>
      <c r="C10" t="s">
        <v>427</v>
      </c>
      <c r="D10" t="s">
        <v>23</v>
      </c>
      <c r="E10" t="s">
        <v>179</v>
      </c>
      <c r="G10" t="s">
        <v>25</v>
      </c>
      <c r="H10" t="s">
        <v>26</v>
      </c>
      <c r="I10" t="s">
        <v>27</v>
      </c>
      <c r="J10" t="s">
        <v>374</v>
      </c>
      <c r="K10">
        <v>25100</v>
      </c>
      <c r="L10">
        <v>25100</v>
      </c>
      <c r="M10">
        <v>0</v>
      </c>
      <c r="N10" t="s">
        <v>28</v>
      </c>
      <c r="O10" t="s">
        <v>29</v>
      </c>
      <c r="P10">
        <v>1</v>
      </c>
      <c r="Q10">
        <v>22</v>
      </c>
      <c r="R10">
        <v>0</v>
      </c>
      <c r="S10">
        <v>0</v>
      </c>
      <c r="V10" t="s">
        <v>30</v>
      </c>
    </row>
    <row r="11" spans="1:23" x14ac:dyDescent="0.35">
      <c r="A11" t="s">
        <v>95</v>
      </c>
      <c r="B11" t="s">
        <v>338</v>
      </c>
      <c r="C11" t="s">
        <v>516</v>
      </c>
      <c r="D11" t="s">
        <v>23</v>
      </c>
      <c r="E11" s="37">
        <v>46030</v>
      </c>
      <c r="G11" t="s">
        <v>25</v>
      </c>
      <c r="H11" t="s">
        <v>26</v>
      </c>
      <c r="I11" t="s">
        <v>27</v>
      </c>
      <c r="J11" t="s">
        <v>391</v>
      </c>
      <c r="K11">
        <v>54763</v>
      </c>
      <c r="L11">
        <v>54763</v>
      </c>
      <c r="M11">
        <v>0</v>
      </c>
      <c r="N11" t="s">
        <v>28</v>
      </c>
      <c r="O11" t="s">
        <v>29</v>
      </c>
      <c r="P11">
        <v>1</v>
      </c>
      <c r="Q11">
        <v>22</v>
      </c>
      <c r="R11">
        <v>0</v>
      </c>
      <c r="S11">
        <v>0</v>
      </c>
      <c r="V11" t="s">
        <v>30</v>
      </c>
    </row>
    <row r="12" spans="1:23" x14ac:dyDescent="0.35">
      <c r="A12" t="s">
        <v>95</v>
      </c>
      <c r="B12" t="s">
        <v>156</v>
      </c>
      <c r="C12" t="s">
        <v>490</v>
      </c>
      <c r="D12" t="s">
        <v>23</v>
      </c>
      <c r="E12" t="s">
        <v>157</v>
      </c>
      <c r="G12" t="s">
        <v>25</v>
      </c>
      <c r="H12" t="s">
        <v>26</v>
      </c>
      <c r="I12" t="s">
        <v>27</v>
      </c>
      <c r="J12" t="s">
        <v>374</v>
      </c>
      <c r="K12">
        <v>29100</v>
      </c>
      <c r="L12">
        <v>29100</v>
      </c>
      <c r="M12">
        <v>0</v>
      </c>
      <c r="N12" t="s">
        <v>28</v>
      </c>
      <c r="O12" t="s">
        <v>29</v>
      </c>
      <c r="P12">
        <v>1</v>
      </c>
      <c r="Q12">
        <v>22</v>
      </c>
      <c r="R12">
        <v>0</v>
      </c>
      <c r="S12">
        <v>0</v>
      </c>
      <c r="V12" t="s">
        <v>30</v>
      </c>
    </row>
    <row r="13" spans="1:23" x14ac:dyDescent="0.35">
      <c r="A13" t="s">
        <v>95</v>
      </c>
      <c r="B13" t="s">
        <v>155</v>
      </c>
      <c r="C13" t="s">
        <v>489</v>
      </c>
      <c r="D13" t="s">
        <v>23</v>
      </c>
      <c r="E13" t="s">
        <v>53</v>
      </c>
      <c r="G13" t="s">
        <v>25</v>
      </c>
      <c r="H13" t="s">
        <v>26</v>
      </c>
      <c r="I13" t="s">
        <v>27</v>
      </c>
      <c r="J13" t="s">
        <v>347</v>
      </c>
      <c r="K13">
        <v>45767</v>
      </c>
      <c r="L13">
        <v>45767</v>
      </c>
      <c r="M13">
        <v>0</v>
      </c>
      <c r="N13" t="s">
        <v>28</v>
      </c>
      <c r="O13" t="s">
        <v>29</v>
      </c>
      <c r="P13">
        <v>1</v>
      </c>
      <c r="Q13">
        <v>22</v>
      </c>
      <c r="R13">
        <v>0</v>
      </c>
      <c r="S13">
        <v>0</v>
      </c>
      <c r="V13" t="s">
        <v>30</v>
      </c>
    </row>
    <row r="14" spans="1:23" x14ac:dyDescent="0.35">
      <c r="A14" t="s">
        <v>95</v>
      </c>
      <c r="B14" t="s">
        <v>104</v>
      </c>
      <c r="C14" t="s">
        <v>462</v>
      </c>
      <c r="D14" t="s">
        <v>23</v>
      </c>
      <c r="E14" t="s">
        <v>105</v>
      </c>
      <c r="G14" t="s">
        <v>25</v>
      </c>
      <c r="H14" t="s">
        <v>26</v>
      </c>
      <c r="I14" t="s">
        <v>27</v>
      </c>
      <c r="J14" t="s">
        <v>351</v>
      </c>
      <c r="K14">
        <v>83333</v>
      </c>
      <c r="L14">
        <v>83333</v>
      </c>
      <c r="M14">
        <v>0</v>
      </c>
      <c r="N14" t="s">
        <v>28</v>
      </c>
      <c r="O14" t="s">
        <v>29</v>
      </c>
      <c r="P14">
        <v>1</v>
      </c>
      <c r="Q14">
        <v>22</v>
      </c>
      <c r="R14">
        <v>0</v>
      </c>
      <c r="S14">
        <v>0</v>
      </c>
      <c r="V14" t="s">
        <v>30</v>
      </c>
    </row>
    <row r="15" spans="1:23" x14ac:dyDescent="0.35">
      <c r="A15" t="s">
        <v>95</v>
      </c>
      <c r="B15" t="s">
        <v>183</v>
      </c>
      <c r="C15" t="s">
        <v>428</v>
      </c>
      <c r="D15" t="s">
        <v>23</v>
      </c>
      <c r="E15" t="s">
        <v>184</v>
      </c>
      <c r="G15" t="s">
        <v>25</v>
      </c>
      <c r="H15" t="s">
        <v>26</v>
      </c>
      <c r="I15" t="s">
        <v>27</v>
      </c>
      <c r="J15" t="s">
        <v>382</v>
      </c>
      <c r="K15">
        <v>75000</v>
      </c>
      <c r="L15">
        <v>75000</v>
      </c>
      <c r="M15">
        <v>0</v>
      </c>
      <c r="N15" t="s">
        <v>28</v>
      </c>
      <c r="O15" t="s">
        <v>29</v>
      </c>
      <c r="P15">
        <v>1</v>
      </c>
      <c r="Q15">
        <v>22</v>
      </c>
      <c r="R15">
        <v>0</v>
      </c>
      <c r="S15">
        <v>0</v>
      </c>
      <c r="V15" t="s">
        <v>30</v>
      </c>
    </row>
    <row r="16" spans="1:23" x14ac:dyDescent="0.35">
      <c r="A16" t="s">
        <v>95</v>
      </c>
      <c r="B16" t="s">
        <v>96</v>
      </c>
      <c r="C16" t="s">
        <v>457</v>
      </c>
      <c r="D16" t="s">
        <v>23</v>
      </c>
      <c r="E16" t="s">
        <v>97</v>
      </c>
      <c r="G16" t="s">
        <v>25</v>
      </c>
      <c r="H16" t="s">
        <v>26</v>
      </c>
      <c r="I16" t="s">
        <v>27</v>
      </c>
      <c r="J16" t="s">
        <v>347</v>
      </c>
      <c r="K16">
        <v>70833</v>
      </c>
      <c r="L16">
        <v>70833</v>
      </c>
      <c r="M16">
        <v>0</v>
      </c>
      <c r="N16" t="s">
        <v>28</v>
      </c>
      <c r="O16" t="s">
        <v>29</v>
      </c>
      <c r="P16">
        <v>1</v>
      </c>
      <c r="Q16">
        <v>22</v>
      </c>
      <c r="R16">
        <v>0</v>
      </c>
      <c r="S16">
        <v>0</v>
      </c>
      <c r="V16" t="s">
        <v>30</v>
      </c>
    </row>
    <row r="17" spans="1:23" x14ac:dyDescent="0.35">
      <c r="A17" t="s">
        <v>95</v>
      </c>
      <c r="B17" t="s">
        <v>135</v>
      </c>
      <c r="C17" t="s">
        <v>421</v>
      </c>
      <c r="D17" t="s">
        <v>23</v>
      </c>
      <c r="E17" t="s">
        <v>136</v>
      </c>
      <c r="F17" s="37">
        <v>46052</v>
      </c>
      <c r="G17" t="s">
        <v>588</v>
      </c>
      <c r="H17" t="s">
        <v>26</v>
      </c>
      <c r="I17" t="s">
        <v>27</v>
      </c>
      <c r="J17" t="s">
        <v>364</v>
      </c>
      <c r="K17">
        <v>58334</v>
      </c>
      <c r="L17">
        <v>58334</v>
      </c>
      <c r="M17">
        <v>0</v>
      </c>
      <c r="N17" t="s">
        <v>28</v>
      </c>
      <c r="O17" t="s">
        <v>29</v>
      </c>
      <c r="P17">
        <v>1</v>
      </c>
      <c r="Q17">
        <v>7</v>
      </c>
      <c r="R17">
        <v>0</v>
      </c>
      <c r="S17">
        <v>0</v>
      </c>
      <c r="V17" t="s">
        <v>30</v>
      </c>
      <c r="W17" t="s">
        <v>599</v>
      </c>
    </row>
    <row r="18" spans="1:23" x14ac:dyDescent="0.35">
      <c r="A18" t="s">
        <v>95</v>
      </c>
      <c r="B18" t="s">
        <v>198</v>
      </c>
      <c r="C18" t="s">
        <v>515</v>
      </c>
      <c r="D18" t="s">
        <v>23</v>
      </c>
      <c r="E18" t="s">
        <v>199</v>
      </c>
      <c r="G18" t="s">
        <v>25</v>
      </c>
      <c r="H18" t="s">
        <v>26</v>
      </c>
      <c r="I18" t="s">
        <v>27</v>
      </c>
      <c r="J18" t="s">
        <v>388</v>
      </c>
      <c r="K18">
        <v>112500</v>
      </c>
      <c r="L18">
        <v>112500</v>
      </c>
      <c r="M18">
        <v>0</v>
      </c>
      <c r="N18" t="s">
        <v>28</v>
      </c>
      <c r="O18" t="s">
        <v>29</v>
      </c>
      <c r="P18">
        <v>1</v>
      </c>
      <c r="Q18">
        <v>22</v>
      </c>
      <c r="R18">
        <v>0</v>
      </c>
      <c r="S18">
        <v>0</v>
      </c>
      <c r="V18" t="s">
        <v>30</v>
      </c>
    </row>
    <row r="19" spans="1:23" x14ac:dyDescent="0.35">
      <c r="A19" t="s">
        <v>95</v>
      </c>
      <c r="B19" t="s">
        <v>142</v>
      </c>
      <c r="C19" t="s">
        <v>479</v>
      </c>
      <c r="D19" t="s">
        <v>23</v>
      </c>
      <c r="E19" t="s">
        <v>97</v>
      </c>
      <c r="G19" t="s">
        <v>25</v>
      </c>
      <c r="H19" t="s">
        <v>26</v>
      </c>
      <c r="I19" t="s">
        <v>27</v>
      </c>
      <c r="J19" t="s">
        <v>367</v>
      </c>
      <c r="K19">
        <v>70833</v>
      </c>
      <c r="L19">
        <v>70833</v>
      </c>
      <c r="M19">
        <v>0</v>
      </c>
      <c r="N19" t="s">
        <v>28</v>
      </c>
      <c r="O19" t="s">
        <v>29</v>
      </c>
      <c r="P19">
        <v>1</v>
      </c>
      <c r="Q19">
        <v>22</v>
      </c>
      <c r="R19">
        <v>0</v>
      </c>
      <c r="S19">
        <v>0</v>
      </c>
      <c r="V19" t="s">
        <v>30</v>
      </c>
    </row>
    <row r="20" spans="1:23" x14ac:dyDescent="0.35">
      <c r="A20" t="s">
        <v>95</v>
      </c>
      <c r="B20" t="s">
        <v>175</v>
      </c>
      <c r="C20" t="s">
        <v>502</v>
      </c>
      <c r="D20" t="s">
        <v>23</v>
      </c>
      <c r="E20" t="s">
        <v>176</v>
      </c>
      <c r="G20" t="s">
        <v>25</v>
      </c>
      <c r="H20" t="s">
        <v>26</v>
      </c>
      <c r="I20" t="s">
        <v>27</v>
      </c>
      <c r="J20" t="s">
        <v>379</v>
      </c>
      <c r="K20">
        <v>39100</v>
      </c>
      <c r="L20">
        <v>39100</v>
      </c>
      <c r="M20">
        <v>0</v>
      </c>
      <c r="N20" t="s">
        <v>28</v>
      </c>
      <c r="O20" t="s">
        <v>29</v>
      </c>
      <c r="P20">
        <v>1</v>
      </c>
      <c r="Q20">
        <v>22</v>
      </c>
      <c r="R20">
        <v>0</v>
      </c>
      <c r="S20">
        <v>0</v>
      </c>
      <c r="V20" t="s">
        <v>30</v>
      </c>
    </row>
    <row r="21" spans="1:23" x14ac:dyDescent="0.35">
      <c r="A21" t="s">
        <v>95</v>
      </c>
      <c r="B21" t="s">
        <v>134</v>
      </c>
      <c r="C21" t="s">
        <v>420</v>
      </c>
      <c r="D21" t="s">
        <v>23</v>
      </c>
      <c r="E21" t="s">
        <v>107</v>
      </c>
      <c r="G21" t="s">
        <v>25</v>
      </c>
      <c r="H21" t="s">
        <v>26</v>
      </c>
      <c r="I21" t="s">
        <v>27</v>
      </c>
      <c r="J21" t="s">
        <v>363</v>
      </c>
      <c r="K21">
        <v>33870</v>
      </c>
      <c r="L21">
        <v>33870</v>
      </c>
      <c r="M21">
        <v>0</v>
      </c>
      <c r="N21" t="s">
        <v>28</v>
      </c>
      <c r="O21" t="s">
        <v>29</v>
      </c>
      <c r="P21">
        <v>1</v>
      </c>
      <c r="Q21">
        <v>22</v>
      </c>
      <c r="R21">
        <v>0</v>
      </c>
      <c r="S21">
        <v>0</v>
      </c>
      <c r="V21" t="s">
        <v>30</v>
      </c>
    </row>
    <row r="22" spans="1:23" x14ac:dyDescent="0.35">
      <c r="A22" t="s">
        <v>95</v>
      </c>
      <c r="B22" t="s">
        <v>106</v>
      </c>
      <c r="C22" t="s">
        <v>463</v>
      </c>
      <c r="D22" t="s">
        <v>23</v>
      </c>
      <c r="E22" t="s">
        <v>107</v>
      </c>
      <c r="F22" s="37">
        <v>46053</v>
      </c>
      <c r="G22" t="s">
        <v>588</v>
      </c>
      <c r="H22" t="s">
        <v>26</v>
      </c>
      <c r="I22" t="s">
        <v>27</v>
      </c>
      <c r="J22" t="s">
        <v>352</v>
      </c>
      <c r="K22">
        <v>36570</v>
      </c>
      <c r="L22">
        <v>36570</v>
      </c>
      <c r="M22">
        <v>0</v>
      </c>
      <c r="N22" t="s">
        <v>28</v>
      </c>
      <c r="O22" t="s">
        <v>29</v>
      </c>
      <c r="P22">
        <v>1</v>
      </c>
      <c r="Q22">
        <v>8</v>
      </c>
      <c r="R22">
        <v>0</v>
      </c>
      <c r="S22">
        <v>0</v>
      </c>
      <c r="V22" t="s">
        <v>30</v>
      </c>
      <c r="W22" t="s">
        <v>598</v>
      </c>
    </row>
    <row r="23" spans="1:23" x14ac:dyDescent="0.35">
      <c r="A23" t="s">
        <v>95</v>
      </c>
      <c r="B23" t="s">
        <v>139</v>
      </c>
      <c r="C23" t="s">
        <v>477</v>
      </c>
      <c r="D23" t="s">
        <v>23</v>
      </c>
      <c r="E23" t="s">
        <v>140</v>
      </c>
      <c r="G23" t="s">
        <v>25</v>
      </c>
      <c r="H23" t="s">
        <v>26</v>
      </c>
      <c r="I23" t="s">
        <v>27</v>
      </c>
      <c r="J23" t="s">
        <v>363</v>
      </c>
      <c r="K23">
        <v>31570</v>
      </c>
      <c r="L23">
        <v>31570</v>
      </c>
      <c r="M23">
        <v>0</v>
      </c>
      <c r="N23" t="s">
        <v>28</v>
      </c>
      <c r="O23" t="s">
        <v>29</v>
      </c>
      <c r="P23">
        <v>1</v>
      </c>
      <c r="Q23">
        <v>22</v>
      </c>
      <c r="R23">
        <v>0</v>
      </c>
      <c r="S23">
        <v>0</v>
      </c>
      <c r="V23" t="s">
        <v>30</v>
      </c>
    </row>
    <row r="24" spans="1:23" x14ac:dyDescent="0.35">
      <c r="A24" t="s">
        <v>95</v>
      </c>
      <c r="B24" t="s">
        <v>167</v>
      </c>
      <c r="C24" t="s">
        <v>498</v>
      </c>
      <c r="D24" t="s">
        <v>23</v>
      </c>
      <c r="E24" t="s">
        <v>168</v>
      </c>
      <c r="G24" t="s">
        <v>25</v>
      </c>
      <c r="H24" t="s">
        <v>26</v>
      </c>
      <c r="I24" t="s">
        <v>27</v>
      </c>
      <c r="J24" t="s">
        <v>376</v>
      </c>
      <c r="K24">
        <v>28600</v>
      </c>
      <c r="L24">
        <v>28600</v>
      </c>
      <c r="M24">
        <v>0</v>
      </c>
      <c r="N24" t="s">
        <v>28</v>
      </c>
      <c r="O24" t="s">
        <v>29</v>
      </c>
      <c r="P24">
        <v>1</v>
      </c>
      <c r="Q24">
        <v>22</v>
      </c>
      <c r="R24">
        <v>0</v>
      </c>
      <c r="S24">
        <v>0</v>
      </c>
      <c r="V24" t="s">
        <v>30</v>
      </c>
    </row>
    <row r="25" spans="1:23" x14ac:dyDescent="0.35">
      <c r="A25" t="s">
        <v>95</v>
      </c>
      <c r="B25" t="s">
        <v>162</v>
      </c>
      <c r="C25" t="s">
        <v>495</v>
      </c>
      <c r="D25" t="s">
        <v>23</v>
      </c>
      <c r="E25" t="s">
        <v>163</v>
      </c>
      <c r="G25" t="s">
        <v>25</v>
      </c>
      <c r="H25" t="s">
        <v>26</v>
      </c>
      <c r="I25" t="s">
        <v>27</v>
      </c>
      <c r="J25" t="s">
        <v>356</v>
      </c>
      <c r="K25">
        <v>31570</v>
      </c>
      <c r="L25">
        <v>31570</v>
      </c>
      <c r="M25">
        <v>0</v>
      </c>
      <c r="N25" t="s">
        <v>28</v>
      </c>
      <c r="O25" t="s">
        <v>29</v>
      </c>
      <c r="P25">
        <v>1</v>
      </c>
      <c r="Q25">
        <v>22</v>
      </c>
      <c r="R25">
        <v>0</v>
      </c>
      <c r="S25">
        <v>0</v>
      </c>
      <c r="V25" t="s">
        <v>30</v>
      </c>
    </row>
    <row r="26" spans="1:23" x14ac:dyDescent="0.35">
      <c r="A26" t="s">
        <v>95</v>
      </c>
      <c r="B26" t="s">
        <v>145</v>
      </c>
      <c r="C26" t="s">
        <v>482</v>
      </c>
      <c r="D26" t="s">
        <v>23</v>
      </c>
      <c r="E26" t="s">
        <v>115</v>
      </c>
      <c r="G26" t="s">
        <v>25</v>
      </c>
      <c r="H26" t="s">
        <v>26</v>
      </c>
      <c r="I26" t="s">
        <v>27</v>
      </c>
      <c r="J26" t="s">
        <v>369</v>
      </c>
      <c r="K26">
        <v>71668</v>
      </c>
      <c r="L26">
        <v>71668</v>
      </c>
      <c r="M26">
        <v>0</v>
      </c>
      <c r="N26" t="s">
        <v>28</v>
      </c>
      <c r="O26" t="s">
        <v>29</v>
      </c>
      <c r="P26">
        <v>1</v>
      </c>
      <c r="Q26">
        <v>22</v>
      </c>
      <c r="R26">
        <v>0</v>
      </c>
      <c r="S26">
        <v>0</v>
      </c>
      <c r="V26" t="s">
        <v>30</v>
      </c>
    </row>
    <row r="27" spans="1:23" x14ac:dyDescent="0.35">
      <c r="A27" t="s">
        <v>95</v>
      </c>
      <c r="B27" t="s">
        <v>114</v>
      </c>
      <c r="C27" t="s">
        <v>418</v>
      </c>
      <c r="D27" t="s">
        <v>23</v>
      </c>
      <c r="E27" t="s">
        <v>115</v>
      </c>
      <c r="G27" t="s">
        <v>25</v>
      </c>
      <c r="H27" t="s">
        <v>26</v>
      </c>
      <c r="I27" t="s">
        <v>27</v>
      </c>
      <c r="J27" t="s">
        <v>356</v>
      </c>
      <c r="K27">
        <v>34570</v>
      </c>
      <c r="L27">
        <v>34570</v>
      </c>
      <c r="M27">
        <v>0</v>
      </c>
      <c r="N27" t="s">
        <v>28</v>
      </c>
      <c r="O27" t="s">
        <v>29</v>
      </c>
      <c r="P27">
        <v>1</v>
      </c>
      <c r="Q27">
        <v>22</v>
      </c>
      <c r="R27">
        <v>0</v>
      </c>
      <c r="S27">
        <v>0</v>
      </c>
      <c r="V27" t="s">
        <v>30</v>
      </c>
    </row>
    <row r="28" spans="1:23" x14ac:dyDescent="0.35">
      <c r="A28" t="s">
        <v>95</v>
      </c>
      <c r="B28" t="s">
        <v>124</v>
      </c>
      <c r="C28" t="s">
        <v>470</v>
      </c>
      <c r="D28" t="s">
        <v>23</v>
      </c>
      <c r="E28" t="s">
        <v>125</v>
      </c>
      <c r="G28" t="s">
        <v>25</v>
      </c>
      <c r="H28" t="s">
        <v>26</v>
      </c>
      <c r="I28" t="s">
        <v>27</v>
      </c>
      <c r="J28" t="s">
        <v>360</v>
      </c>
      <c r="K28">
        <v>112501</v>
      </c>
      <c r="L28">
        <v>112501</v>
      </c>
      <c r="M28">
        <v>0</v>
      </c>
      <c r="N28" t="s">
        <v>28</v>
      </c>
      <c r="O28" t="s">
        <v>29</v>
      </c>
      <c r="P28">
        <v>1</v>
      </c>
      <c r="Q28">
        <v>22</v>
      </c>
      <c r="R28">
        <v>0</v>
      </c>
      <c r="S28">
        <v>0</v>
      </c>
      <c r="V28" t="s">
        <v>30</v>
      </c>
    </row>
    <row r="29" spans="1:23" x14ac:dyDescent="0.35">
      <c r="A29" t="s">
        <v>95</v>
      </c>
      <c r="B29" t="s">
        <v>166</v>
      </c>
      <c r="C29" t="s">
        <v>497</v>
      </c>
      <c r="D29" t="s">
        <v>23</v>
      </c>
      <c r="E29" t="s">
        <v>144</v>
      </c>
      <c r="G29" t="s">
        <v>25</v>
      </c>
      <c r="H29" t="s">
        <v>26</v>
      </c>
      <c r="I29" t="s">
        <v>27</v>
      </c>
      <c r="J29" t="s">
        <v>368</v>
      </c>
      <c r="K29">
        <v>46570</v>
      </c>
      <c r="L29">
        <v>46570</v>
      </c>
      <c r="M29">
        <v>0</v>
      </c>
      <c r="N29" t="s">
        <v>28</v>
      </c>
      <c r="O29" t="s">
        <v>29</v>
      </c>
      <c r="P29">
        <v>1</v>
      </c>
      <c r="Q29">
        <v>22</v>
      </c>
      <c r="R29">
        <v>0</v>
      </c>
      <c r="S29">
        <v>0</v>
      </c>
      <c r="V29" t="s">
        <v>30</v>
      </c>
    </row>
    <row r="30" spans="1:23" x14ac:dyDescent="0.35">
      <c r="A30" t="s">
        <v>95</v>
      </c>
      <c r="B30" t="s">
        <v>160</v>
      </c>
      <c r="C30" t="s">
        <v>494</v>
      </c>
      <c r="D30" t="s">
        <v>23</v>
      </c>
      <c r="E30" t="s">
        <v>161</v>
      </c>
      <c r="G30" t="s">
        <v>25</v>
      </c>
      <c r="H30" t="s">
        <v>26</v>
      </c>
      <c r="I30" t="s">
        <v>27</v>
      </c>
      <c r="J30" t="s">
        <v>362</v>
      </c>
      <c r="K30">
        <v>45570</v>
      </c>
      <c r="L30">
        <v>45570</v>
      </c>
      <c r="M30">
        <v>0</v>
      </c>
      <c r="N30" t="s">
        <v>28</v>
      </c>
      <c r="O30" t="s">
        <v>29</v>
      </c>
      <c r="P30">
        <v>1</v>
      </c>
      <c r="Q30">
        <v>22</v>
      </c>
      <c r="R30">
        <v>0</v>
      </c>
      <c r="S30">
        <v>0</v>
      </c>
      <c r="V30" t="s">
        <v>30</v>
      </c>
    </row>
    <row r="31" spans="1:23" x14ac:dyDescent="0.35">
      <c r="A31" t="s">
        <v>95</v>
      </c>
      <c r="B31" t="s">
        <v>143</v>
      </c>
      <c r="C31" t="s">
        <v>481</v>
      </c>
      <c r="D31" t="s">
        <v>23</v>
      </c>
      <c r="E31" t="s">
        <v>144</v>
      </c>
      <c r="G31" t="s">
        <v>25</v>
      </c>
      <c r="H31" t="s">
        <v>26</v>
      </c>
      <c r="I31" t="s">
        <v>27</v>
      </c>
      <c r="J31" t="s">
        <v>368</v>
      </c>
      <c r="K31">
        <v>54570</v>
      </c>
      <c r="L31">
        <v>54570</v>
      </c>
      <c r="M31">
        <v>0</v>
      </c>
      <c r="N31" t="s">
        <v>28</v>
      </c>
      <c r="O31" t="s">
        <v>29</v>
      </c>
      <c r="P31">
        <v>1</v>
      </c>
      <c r="Q31">
        <v>22</v>
      </c>
      <c r="R31">
        <v>0</v>
      </c>
      <c r="S31">
        <v>0</v>
      </c>
      <c r="V31" t="s">
        <v>30</v>
      </c>
    </row>
    <row r="32" spans="1:23" x14ac:dyDescent="0.35">
      <c r="A32" t="s">
        <v>95</v>
      </c>
      <c r="B32" t="s">
        <v>132</v>
      </c>
      <c r="C32" t="s">
        <v>475</v>
      </c>
      <c r="D32" t="s">
        <v>23</v>
      </c>
      <c r="E32" t="s">
        <v>133</v>
      </c>
      <c r="G32" t="s">
        <v>25</v>
      </c>
      <c r="H32" t="s">
        <v>26</v>
      </c>
      <c r="I32" t="s">
        <v>27</v>
      </c>
      <c r="J32" t="s">
        <v>362</v>
      </c>
      <c r="K32">
        <v>54570</v>
      </c>
      <c r="L32">
        <v>54570</v>
      </c>
      <c r="M32">
        <v>0</v>
      </c>
      <c r="N32" t="s">
        <v>28</v>
      </c>
      <c r="O32" t="s">
        <v>29</v>
      </c>
      <c r="P32">
        <v>1</v>
      </c>
      <c r="Q32">
        <v>22</v>
      </c>
      <c r="R32">
        <v>0</v>
      </c>
      <c r="S32">
        <v>0</v>
      </c>
      <c r="V32" t="s">
        <v>30</v>
      </c>
    </row>
    <row r="33" spans="1:23" x14ac:dyDescent="0.35">
      <c r="A33" t="s">
        <v>95</v>
      </c>
      <c r="B33" t="s">
        <v>98</v>
      </c>
      <c r="C33" t="s">
        <v>458</v>
      </c>
      <c r="D33" t="s">
        <v>23</v>
      </c>
      <c r="E33" t="s">
        <v>99</v>
      </c>
      <c r="G33" t="s">
        <v>25</v>
      </c>
      <c r="H33" t="s">
        <v>26</v>
      </c>
      <c r="I33" t="s">
        <v>27</v>
      </c>
      <c r="J33" t="s">
        <v>348</v>
      </c>
      <c r="K33">
        <v>28800</v>
      </c>
      <c r="L33">
        <v>28800</v>
      </c>
      <c r="M33">
        <v>0</v>
      </c>
      <c r="N33" t="s">
        <v>28</v>
      </c>
      <c r="O33" t="s">
        <v>29</v>
      </c>
      <c r="P33">
        <v>1</v>
      </c>
      <c r="Q33">
        <v>22</v>
      </c>
      <c r="R33">
        <v>0</v>
      </c>
      <c r="S33">
        <v>0</v>
      </c>
      <c r="V33" t="s">
        <v>30</v>
      </c>
    </row>
    <row r="34" spans="1:23" x14ac:dyDescent="0.35">
      <c r="A34" t="s">
        <v>95</v>
      </c>
      <c r="B34" t="s">
        <v>180</v>
      </c>
      <c r="C34" t="s">
        <v>504</v>
      </c>
      <c r="D34" t="s">
        <v>23</v>
      </c>
      <c r="E34" t="s">
        <v>99</v>
      </c>
      <c r="G34" t="s">
        <v>25</v>
      </c>
      <c r="H34" t="s">
        <v>26</v>
      </c>
      <c r="I34" t="s">
        <v>27</v>
      </c>
      <c r="J34" t="s">
        <v>381</v>
      </c>
      <c r="K34">
        <v>137520</v>
      </c>
      <c r="L34">
        <v>137520</v>
      </c>
      <c r="M34">
        <v>0</v>
      </c>
      <c r="N34" t="s">
        <v>28</v>
      </c>
      <c r="O34" t="s">
        <v>29</v>
      </c>
      <c r="P34">
        <v>1</v>
      </c>
      <c r="Q34">
        <v>22</v>
      </c>
      <c r="R34">
        <v>0</v>
      </c>
      <c r="S34">
        <v>0</v>
      </c>
      <c r="V34" t="s">
        <v>30</v>
      </c>
    </row>
    <row r="35" spans="1:23" x14ac:dyDescent="0.35">
      <c r="A35" t="s">
        <v>95</v>
      </c>
      <c r="B35" t="s">
        <v>339</v>
      </c>
      <c r="C35" t="s">
        <v>471</v>
      </c>
      <c r="D35" t="s">
        <v>23</v>
      </c>
      <c r="E35" s="37">
        <v>46043</v>
      </c>
      <c r="G35" t="s">
        <v>334</v>
      </c>
      <c r="H35" t="s">
        <v>26</v>
      </c>
      <c r="I35" t="s">
        <v>257</v>
      </c>
      <c r="J35" t="s">
        <v>392</v>
      </c>
      <c r="K35">
        <v>55000</v>
      </c>
      <c r="L35">
        <v>55000</v>
      </c>
      <c r="M35">
        <v>0</v>
      </c>
      <c r="N35" t="s">
        <v>28</v>
      </c>
      <c r="O35" t="s">
        <v>29</v>
      </c>
      <c r="P35">
        <v>1</v>
      </c>
      <c r="Q35">
        <v>22</v>
      </c>
      <c r="R35">
        <v>0</v>
      </c>
      <c r="S35">
        <v>0</v>
      </c>
      <c r="V35" t="s">
        <v>30</v>
      </c>
      <c r="W35" t="s">
        <v>334</v>
      </c>
    </row>
    <row r="36" spans="1:23" x14ac:dyDescent="0.35">
      <c r="A36" t="s">
        <v>95</v>
      </c>
      <c r="B36" t="s">
        <v>345</v>
      </c>
      <c r="C36" t="s">
        <v>492</v>
      </c>
      <c r="D36" t="s">
        <v>23</v>
      </c>
      <c r="E36" s="37">
        <v>45831</v>
      </c>
      <c r="G36" t="s">
        <v>25</v>
      </c>
      <c r="H36" t="s">
        <v>26</v>
      </c>
      <c r="I36" t="s">
        <v>27</v>
      </c>
      <c r="J36" t="s">
        <v>390</v>
      </c>
      <c r="K36">
        <v>33800</v>
      </c>
      <c r="L36">
        <v>33800</v>
      </c>
      <c r="M36">
        <v>0</v>
      </c>
      <c r="N36" t="s">
        <v>28</v>
      </c>
      <c r="O36" t="s">
        <v>29</v>
      </c>
      <c r="P36">
        <v>1</v>
      </c>
      <c r="Q36">
        <v>22</v>
      </c>
      <c r="R36">
        <v>0</v>
      </c>
      <c r="S36">
        <v>0</v>
      </c>
      <c r="V36" t="s">
        <v>30</v>
      </c>
    </row>
    <row r="37" spans="1:23" x14ac:dyDescent="0.35">
      <c r="A37" t="s">
        <v>95</v>
      </c>
      <c r="B37" t="s">
        <v>200</v>
      </c>
      <c r="C37" t="s">
        <v>429</v>
      </c>
      <c r="D37" t="s">
        <v>23</v>
      </c>
      <c r="E37" t="s">
        <v>201</v>
      </c>
      <c r="G37" t="s">
        <v>25</v>
      </c>
      <c r="H37" t="s">
        <v>26</v>
      </c>
      <c r="I37" t="s">
        <v>27</v>
      </c>
      <c r="J37" t="s">
        <v>389</v>
      </c>
      <c r="K37">
        <v>137500</v>
      </c>
      <c r="L37">
        <v>137500</v>
      </c>
      <c r="M37">
        <v>0</v>
      </c>
      <c r="N37" t="s">
        <v>28</v>
      </c>
      <c r="O37" t="s">
        <v>29</v>
      </c>
      <c r="P37">
        <v>1</v>
      </c>
      <c r="Q37">
        <v>22</v>
      </c>
      <c r="R37">
        <v>0</v>
      </c>
      <c r="S37">
        <v>0</v>
      </c>
      <c r="V37" t="s">
        <v>30</v>
      </c>
    </row>
    <row r="38" spans="1:23" x14ac:dyDescent="0.35">
      <c r="A38" t="s">
        <v>95</v>
      </c>
      <c r="B38" t="s">
        <v>122</v>
      </c>
      <c r="C38" t="s">
        <v>469</v>
      </c>
      <c r="D38" t="s">
        <v>23</v>
      </c>
      <c r="E38" t="s">
        <v>123</v>
      </c>
      <c r="F38" s="37">
        <v>46053</v>
      </c>
      <c r="G38" t="s">
        <v>588</v>
      </c>
      <c r="H38" t="s">
        <v>26</v>
      </c>
      <c r="I38" t="s">
        <v>27</v>
      </c>
      <c r="J38" t="s">
        <v>359</v>
      </c>
      <c r="K38">
        <v>23375</v>
      </c>
      <c r="L38">
        <v>23375</v>
      </c>
      <c r="M38">
        <v>0</v>
      </c>
      <c r="N38" t="s">
        <v>28</v>
      </c>
      <c r="O38" t="s">
        <v>29</v>
      </c>
      <c r="P38">
        <v>1</v>
      </c>
      <c r="Q38">
        <v>8</v>
      </c>
      <c r="R38">
        <v>0</v>
      </c>
      <c r="S38">
        <v>0</v>
      </c>
      <c r="V38" t="s">
        <v>30</v>
      </c>
      <c r="W38" t="s">
        <v>598</v>
      </c>
    </row>
    <row r="39" spans="1:23" x14ac:dyDescent="0.35">
      <c r="A39" t="s">
        <v>95</v>
      </c>
      <c r="B39" t="s">
        <v>141</v>
      </c>
      <c r="C39" t="s">
        <v>478</v>
      </c>
      <c r="D39" t="s">
        <v>23</v>
      </c>
      <c r="E39" t="s">
        <v>123</v>
      </c>
      <c r="G39" t="s">
        <v>25</v>
      </c>
      <c r="H39" t="s">
        <v>26</v>
      </c>
      <c r="I39" t="s">
        <v>27</v>
      </c>
      <c r="J39" t="s">
        <v>359</v>
      </c>
      <c r="K39">
        <v>24544</v>
      </c>
      <c r="L39">
        <v>24544</v>
      </c>
      <c r="M39">
        <v>0</v>
      </c>
      <c r="N39" t="s">
        <v>28</v>
      </c>
      <c r="O39" t="s">
        <v>29</v>
      </c>
      <c r="P39">
        <v>1</v>
      </c>
      <c r="Q39">
        <v>22</v>
      </c>
      <c r="R39">
        <v>0</v>
      </c>
      <c r="S39">
        <v>0</v>
      </c>
      <c r="V39" t="s">
        <v>30</v>
      </c>
    </row>
    <row r="40" spans="1:23" x14ac:dyDescent="0.35">
      <c r="A40" t="s">
        <v>95</v>
      </c>
      <c r="B40" t="s">
        <v>154</v>
      </c>
      <c r="C40" t="s">
        <v>488</v>
      </c>
      <c r="D40" t="s">
        <v>23</v>
      </c>
      <c r="E40" t="s">
        <v>123</v>
      </c>
      <c r="G40" t="s">
        <v>25</v>
      </c>
      <c r="H40" t="s">
        <v>26</v>
      </c>
      <c r="I40" t="s">
        <v>27</v>
      </c>
      <c r="J40" t="s">
        <v>373</v>
      </c>
      <c r="K40">
        <v>44138</v>
      </c>
      <c r="L40">
        <v>54973</v>
      </c>
      <c r="M40">
        <v>-10835</v>
      </c>
      <c r="N40" t="s">
        <v>28</v>
      </c>
      <c r="O40" t="s">
        <v>29</v>
      </c>
      <c r="P40">
        <v>1</v>
      </c>
      <c r="Q40">
        <v>22</v>
      </c>
      <c r="R40">
        <v>0</v>
      </c>
      <c r="S40">
        <v>0</v>
      </c>
      <c r="V40" t="s">
        <v>30</v>
      </c>
    </row>
    <row r="41" spans="1:23" x14ac:dyDescent="0.35">
      <c r="A41" t="s">
        <v>95</v>
      </c>
      <c r="B41" t="s">
        <v>185</v>
      </c>
      <c r="C41" t="s">
        <v>507</v>
      </c>
      <c r="D41" t="s">
        <v>23</v>
      </c>
      <c r="E41" t="s">
        <v>123</v>
      </c>
      <c r="G41" t="s">
        <v>25</v>
      </c>
      <c r="H41" t="s">
        <v>26</v>
      </c>
      <c r="I41" t="s">
        <v>27</v>
      </c>
      <c r="J41" t="s">
        <v>373</v>
      </c>
      <c r="K41">
        <v>43313</v>
      </c>
      <c r="L41">
        <v>43313</v>
      </c>
      <c r="M41">
        <v>0</v>
      </c>
      <c r="N41" t="s">
        <v>28</v>
      </c>
      <c r="O41" t="s">
        <v>29</v>
      </c>
      <c r="P41">
        <v>1</v>
      </c>
      <c r="Q41">
        <v>22</v>
      </c>
      <c r="R41">
        <v>0</v>
      </c>
      <c r="S41">
        <v>0</v>
      </c>
      <c r="V41" t="s">
        <v>30</v>
      </c>
    </row>
    <row r="42" spans="1:23" x14ac:dyDescent="0.35">
      <c r="A42" t="s">
        <v>95</v>
      </c>
      <c r="B42" t="s">
        <v>158</v>
      </c>
      <c r="C42" t="s">
        <v>491</v>
      </c>
      <c r="D42" t="s">
        <v>23</v>
      </c>
      <c r="E42" t="s">
        <v>159</v>
      </c>
      <c r="G42" t="s">
        <v>25</v>
      </c>
      <c r="H42" t="s">
        <v>26</v>
      </c>
      <c r="I42" t="s">
        <v>27</v>
      </c>
      <c r="J42" t="s">
        <v>354</v>
      </c>
      <c r="K42">
        <v>43346</v>
      </c>
      <c r="L42">
        <v>43346</v>
      </c>
      <c r="M42">
        <v>0</v>
      </c>
      <c r="N42" t="s">
        <v>28</v>
      </c>
      <c r="O42" t="s">
        <v>29</v>
      </c>
      <c r="P42">
        <v>1</v>
      </c>
      <c r="Q42">
        <v>22</v>
      </c>
      <c r="R42">
        <v>0</v>
      </c>
      <c r="S42">
        <v>0</v>
      </c>
      <c r="V42" t="s">
        <v>30</v>
      </c>
    </row>
    <row r="43" spans="1:23" x14ac:dyDescent="0.35">
      <c r="A43" t="s">
        <v>95</v>
      </c>
      <c r="B43" t="s">
        <v>100</v>
      </c>
      <c r="C43" t="s">
        <v>460</v>
      </c>
      <c r="D43" t="s">
        <v>23</v>
      </c>
      <c r="E43" t="s">
        <v>101</v>
      </c>
      <c r="G43" t="s">
        <v>25</v>
      </c>
      <c r="H43" t="s">
        <v>26</v>
      </c>
      <c r="I43" t="s">
        <v>27</v>
      </c>
      <c r="J43" t="s">
        <v>349</v>
      </c>
      <c r="K43">
        <v>36000</v>
      </c>
      <c r="L43">
        <v>36000</v>
      </c>
      <c r="M43">
        <v>0</v>
      </c>
      <c r="N43" t="s">
        <v>28</v>
      </c>
      <c r="O43" t="s">
        <v>29</v>
      </c>
      <c r="P43">
        <v>1</v>
      </c>
      <c r="Q43">
        <v>22</v>
      </c>
      <c r="R43">
        <v>0</v>
      </c>
      <c r="S43">
        <v>0</v>
      </c>
      <c r="V43" t="s">
        <v>30</v>
      </c>
    </row>
    <row r="44" spans="1:23" x14ac:dyDescent="0.35">
      <c r="A44" t="s">
        <v>95</v>
      </c>
      <c r="B44" t="s">
        <v>116</v>
      </c>
      <c r="C44" t="s">
        <v>467</v>
      </c>
      <c r="D44" t="s">
        <v>23</v>
      </c>
      <c r="E44" t="s">
        <v>117</v>
      </c>
      <c r="G44" t="s">
        <v>25</v>
      </c>
      <c r="H44" t="s">
        <v>26</v>
      </c>
      <c r="I44" t="s">
        <v>27</v>
      </c>
      <c r="J44" t="s">
        <v>357</v>
      </c>
      <c r="K44">
        <v>34650</v>
      </c>
      <c r="L44">
        <v>34650</v>
      </c>
      <c r="M44">
        <v>0</v>
      </c>
      <c r="N44" t="s">
        <v>28</v>
      </c>
      <c r="O44" t="s">
        <v>29</v>
      </c>
      <c r="P44">
        <v>1</v>
      </c>
      <c r="Q44">
        <v>22</v>
      </c>
      <c r="R44">
        <v>0</v>
      </c>
      <c r="S44">
        <v>0</v>
      </c>
      <c r="V44" t="s">
        <v>30</v>
      </c>
    </row>
    <row r="45" spans="1:23" x14ac:dyDescent="0.35">
      <c r="A45" t="s">
        <v>95</v>
      </c>
      <c r="B45" t="s">
        <v>118</v>
      </c>
      <c r="C45" t="s">
        <v>593</v>
      </c>
      <c r="D45" t="s">
        <v>23</v>
      </c>
      <c r="E45" t="s">
        <v>119</v>
      </c>
      <c r="G45" t="s">
        <v>25</v>
      </c>
      <c r="H45" t="s">
        <v>26</v>
      </c>
      <c r="I45" t="s">
        <v>27</v>
      </c>
      <c r="J45" t="s">
        <v>358</v>
      </c>
      <c r="K45">
        <v>39500</v>
      </c>
      <c r="L45">
        <v>39500</v>
      </c>
      <c r="M45">
        <v>0</v>
      </c>
      <c r="N45" t="s">
        <v>28</v>
      </c>
      <c r="O45" t="s">
        <v>29</v>
      </c>
      <c r="P45">
        <v>1</v>
      </c>
      <c r="Q45">
        <v>22</v>
      </c>
      <c r="R45">
        <v>0</v>
      </c>
      <c r="S45">
        <v>0</v>
      </c>
      <c r="V45" t="s">
        <v>30</v>
      </c>
    </row>
    <row r="46" spans="1:23" x14ac:dyDescent="0.35">
      <c r="A46" t="s">
        <v>95</v>
      </c>
      <c r="B46" t="s">
        <v>137</v>
      </c>
      <c r="C46" t="s">
        <v>476</v>
      </c>
      <c r="D46" t="s">
        <v>23</v>
      </c>
      <c r="E46" t="s">
        <v>138</v>
      </c>
      <c r="G46" t="s">
        <v>25</v>
      </c>
      <c r="H46" t="s">
        <v>26</v>
      </c>
      <c r="I46" t="s">
        <v>27</v>
      </c>
      <c r="J46" t="s">
        <v>365</v>
      </c>
      <c r="K46">
        <v>29975</v>
      </c>
      <c r="L46">
        <v>29975</v>
      </c>
      <c r="M46">
        <v>0</v>
      </c>
      <c r="N46" t="s">
        <v>28</v>
      </c>
      <c r="O46" t="s">
        <v>29</v>
      </c>
      <c r="P46">
        <v>1</v>
      </c>
      <c r="Q46">
        <v>22</v>
      </c>
      <c r="R46">
        <v>0</v>
      </c>
      <c r="S46">
        <v>0</v>
      </c>
      <c r="V46" t="s">
        <v>30</v>
      </c>
    </row>
    <row r="47" spans="1:23" x14ac:dyDescent="0.35">
      <c r="A47" t="s">
        <v>95</v>
      </c>
      <c r="B47" t="s">
        <v>173</v>
      </c>
      <c r="C47" t="s">
        <v>501</v>
      </c>
      <c r="D47" t="s">
        <v>23</v>
      </c>
      <c r="E47" t="s">
        <v>174</v>
      </c>
      <c r="G47" t="s">
        <v>25</v>
      </c>
      <c r="H47" t="s">
        <v>26</v>
      </c>
      <c r="I47" t="s">
        <v>27</v>
      </c>
      <c r="J47" t="s">
        <v>378</v>
      </c>
      <c r="K47">
        <v>47187</v>
      </c>
      <c r="L47">
        <v>47187</v>
      </c>
      <c r="M47">
        <v>0</v>
      </c>
      <c r="N47" t="s">
        <v>28</v>
      </c>
      <c r="O47" t="s">
        <v>29</v>
      </c>
      <c r="P47">
        <v>1</v>
      </c>
      <c r="Q47">
        <v>22</v>
      </c>
      <c r="R47">
        <v>0</v>
      </c>
      <c r="S47">
        <v>0</v>
      </c>
      <c r="V47" t="s">
        <v>30</v>
      </c>
    </row>
    <row r="48" spans="1:23" x14ac:dyDescent="0.35">
      <c r="A48" t="s">
        <v>95</v>
      </c>
      <c r="B48" t="s">
        <v>120</v>
      </c>
      <c r="C48" t="s">
        <v>468</v>
      </c>
      <c r="D48" t="s">
        <v>23</v>
      </c>
      <c r="E48" t="s">
        <v>121</v>
      </c>
      <c r="G48" t="s">
        <v>25</v>
      </c>
      <c r="H48" t="s">
        <v>26</v>
      </c>
      <c r="I48" t="s">
        <v>27</v>
      </c>
      <c r="J48" t="s">
        <v>353</v>
      </c>
      <c r="K48">
        <v>24155</v>
      </c>
      <c r="L48">
        <v>24155</v>
      </c>
      <c r="M48">
        <v>0</v>
      </c>
      <c r="N48" t="s">
        <v>28</v>
      </c>
      <c r="O48" t="s">
        <v>29</v>
      </c>
      <c r="P48">
        <v>1</v>
      </c>
      <c r="Q48">
        <v>22</v>
      </c>
      <c r="R48">
        <v>0</v>
      </c>
      <c r="S48">
        <v>0</v>
      </c>
      <c r="V48" t="s">
        <v>30</v>
      </c>
    </row>
    <row r="49" spans="1:22" x14ac:dyDescent="0.35">
      <c r="A49" t="s">
        <v>95</v>
      </c>
      <c r="B49" t="s">
        <v>152</v>
      </c>
      <c r="C49" t="s">
        <v>486</v>
      </c>
      <c r="D49" t="s">
        <v>23</v>
      </c>
      <c r="E49" t="s">
        <v>153</v>
      </c>
      <c r="G49" t="s">
        <v>25</v>
      </c>
      <c r="H49" t="s">
        <v>26</v>
      </c>
      <c r="I49" t="s">
        <v>27</v>
      </c>
      <c r="J49" t="s">
        <v>370</v>
      </c>
      <c r="K49">
        <v>32046</v>
      </c>
      <c r="L49">
        <v>32046</v>
      </c>
      <c r="M49">
        <v>0</v>
      </c>
      <c r="N49" t="s">
        <v>28</v>
      </c>
      <c r="O49" t="s">
        <v>29</v>
      </c>
      <c r="P49">
        <v>1</v>
      </c>
      <c r="Q49">
        <v>22</v>
      </c>
      <c r="R49">
        <v>0</v>
      </c>
      <c r="S49">
        <v>0</v>
      </c>
      <c r="V49" t="s">
        <v>30</v>
      </c>
    </row>
    <row r="50" spans="1:22" x14ac:dyDescent="0.35">
      <c r="A50" t="s">
        <v>95</v>
      </c>
      <c r="B50" t="s">
        <v>194</v>
      </c>
      <c r="C50" t="s">
        <v>512</v>
      </c>
      <c r="D50" t="s">
        <v>23</v>
      </c>
      <c r="E50" t="s">
        <v>195</v>
      </c>
      <c r="G50" t="s">
        <v>25</v>
      </c>
      <c r="H50" t="s">
        <v>26</v>
      </c>
      <c r="I50" t="s">
        <v>27</v>
      </c>
      <c r="J50" t="s">
        <v>386</v>
      </c>
      <c r="K50">
        <v>22890</v>
      </c>
      <c r="L50">
        <v>22890</v>
      </c>
      <c r="M50">
        <v>0</v>
      </c>
      <c r="N50" t="s">
        <v>28</v>
      </c>
      <c r="O50" t="s">
        <v>29</v>
      </c>
      <c r="P50">
        <v>1</v>
      </c>
      <c r="Q50">
        <v>22</v>
      </c>
      <c r="R50">
        <v>0</v>
      </c>
      <c r="S50">
        <v>0</v>
      </c>
      <c r="V50" t="s">
        <v>30</v>
      </c>
    </row>
    <row r="51" spans="1:22" x14ac:dyDescent="0.35">
      <c r="A51" t="s">
        <v>95</v>
      </c>
      <c r="B51" t="s">
        <v>126</v>
      </c>
      <c r="C51" t="s">
        <v>472</v>
      </c>
      <c r="D51" t="s">
        <v>23</v>
      </c>
      <c r="E51" t="s">
        <v>127</v>
      </c>
      <c r="G51" t="s">
        <v>25</v>
      </c>
      <c r="H51" t="s">
        <v>26</v>
      </c>
      <c r="I51" t="s">
        <v>27</v>
      </c>
      <c r="J51" t="s">
        <v>357</v>
      </c>
      <c r="K51">
        <v>32525.5</v>
      </c>
      <c r="L51">
        <v>32525.5</v>
      </c>
      <c r="M51">
        <v>0</v>
      </c>
      <c r="N51" t="s">
        <v>28</v>
      </c>
      <c r="O51" t="s">
        <v>29</v>
      </c>
      <c r="P51">
        <v>1</v>
      </c>
      <c r="Q51">
        <v>22</v>
      </c>
      <c r="R51">
        <v>0</v>
      </c>
      <c r="S51">
        <v>0</v>
      </c>
      <c r="V51" t="s">
        <v>30</v>
      </c>
    </row>
    <row r="52" spans="1:22" x14ac:dyDescent="0.35">
      <c r="A52" t="s">
        <v>95</v>
      </c>
      <c r="B52" t="s">
        <v>108</v>
      </c>
      <c r="C52" t="s">
        <v>464</v>
      </c>
      <c r="D52" t="s">
        <v>23</v>
      </c>
      <c r="E52" t="s">
        <v>109</v>
      </c>
      <c r="G52" t="s">
        <v>25</v>
      </c>
      <c r="H52" t="s">
        <v>26</v>
      </c>
      <c r="I52" t="s">
        <v>27</v>
      </c>
      <c r="J52" t="s">
        <v>353</v>
      </c>
      <c r="K52">
        <v>31928</v>
      </c>
      <c r="L52">
        <v>31928</v>
      </c>
      <c r="M52">
        <v>0</v>
      </c>
      <c r="N52" t="s">
        <v>28</v>
      </c>
      <c r="O52" t="s">
        <v>29</v>
      </c>
      <c r="P52">
        <v>1</v>
      </c>
      <c r="Q52">
        <v>22</v>
      </c>
      <c r="R52">
        <v>0</v>
      </c>
      <c r="S52">
        <v>0</v>
      </c>
      <c r="V52" t="s">
        <v>30</v>
      </c>
    </row>
    <row r="53" spans="1:22" x14ac:dyDescent="0.35">
      <c r="A53" t="s">
        <v>95</v>
      </c>
      <c r="B53" t="s">
        <v>128</v>
      </c>
      <c r="C53" t="s">
        <v>473</v>
      </c>
      <c r="D53" t="s">
        <v>23</v>
      </c>
      <c r="E53" t="s">
        <v>129</v>
      </c>
      <c r="G53" t="s">
        <v>25</v>
      </c>
      <c r="H53" t="s">
        <v>26</v>
      </c>
      <c r="I53" t="s">
        <v>27</v>
      </c>
      <c r="J53" t="s">
        <v>354</v>
      </c>
      <c r="K53">
        <v>37450</v>
      </c>
      <c r="L53">
        <v>37450</v>
      </c>
      <c r="M53">
        <v>0</v>
      </c>
      <c r="N53" t="s">
        <v>28</v>
      </c>
      <c r="O53" t="s">
        <v>29</v>
      </c>
      <c r="P53">
        <v>1</v>
      </c>
      <c r="Q53">
        <v>22</v>
      </c>
      <c r="R53">
        <v>0</v>
      </c>
      <c r="S53">
        <v>0</v>
      </c>
      <c r="V53" t="s">
        <v>30</v>
      </c>
    </row>
    <row r="54" spans="1:22" x14ac:dyDescent="0.35">
      <c r="A54" t="s">
        <v>95</v>
      </c>
      <c r="B54" t="s">
        <v>192</v>
      </c>
      <c r="C54" t="s">
        <v>511</v>
      </c>
      <c r="D54" t="s">
        <v>23</v>
      </c>
      <c r="E54" t="s">
        <v>193</v>
      </c>
      <c r="G54" t="s">
        <v>25</v>
      </c>
      <c r="H54" t="s">
        <v>26</v>
      </c>
      <c r="I54" t="s">
        <v>27</v>
      </c>
      <c r="J54" t="s">
        <v>385</v>
      </c>
      <c r="K54">
        <v>26441</v>
      </c>
      <c r="L54">
        <v>26441</v>
      </c>
      <c r="M54">
        <v>0</v>
      </c>
      <c r="N54" t="s">
        <v>28</v>
      </c>
      <c r="O54" t="s">
        <v>29</v>
      </c>
      <c r="P54">
        <v>1</v>
      </c>
      <c r="Q54">
        <v>22</v>
      </c>
      <c r="R54">
        <v>0</v>
      </c>
      <c r="S54">
        <v>0</v>
      </c>
      <c r="V54" t="s">
        <v>30</v>
      </c>
    </row>
    <row r="55" spans="1:22" x14ac:dyDescent="0.35">
      <c r="A55" t="s">
        <v>95</v>
      </c>
      <c r="B55" t="s">
        <v>148</v>
      </c>
      <c r="C55" t="s">
        <v>484</v>
      </c>
      <c r="D55" t="s">
        <v>23</v>
      </c>
      <c r="E55" t="s">
        <v>149</v>
      </c>
      <c r="G55" t="s">
        <v>25</v>
      </c>
      <c r="H55" t="s">
        <v>26</v>
      </c>
      <c r="I55" t="s">
        <v>27</v>
      </c>
      <c r="J55" t="s">
        <v>371</v>
      </c>
      <c r="K55">
        <v>35498</v>
      </c>
      <c r="L55">
        <v>35498</v>
      </c>
      <c r="M55">
        <v>0</v>
      </c>
      <c r="N55" t="s">
        <v>28</v>
      </c>
      <c r="O55" t="s">
        <v>29</v>
      </c>
      <c r="P55">
        <v>1</v>
      </c>
      <c r="Q55">
        <v>22</v>
      </c>
      <c r="R55">
        <v>0</v>
      </c>
      <c r="S55">
        <v>0</v>
      </c>
      <c r="V55" t="s">
        <v>30</v>
      </c>
    </row>
    <row r="56" spans="1:22" x14ac:dyDescent="0.35">
      <c r="A56" t="s">
        <v>95</v>
      </c>
      <c r="B56" t="s">
        <v>146</v>
      </c>
      <c r="C56" t="s">
        <v>483</v>
      </c>
      <c r="D56" t="s">
        <v>23</v>
      </c>
      <c r="E56" t="s">
        <v>147</v>
      </c>
      <c r="G56" t="s">
        <v>25</v>
      </c>
      <c r="H56" t="s">
        <v>26</v>
      </c>
      <c r="I56" t="s">
        <v>27</v>
      </c>
      <c r="J56" t="s">
        <v>370</v>
      </c>
      <c r="K56">
        <v>26888</v>
      </c>
      <c r="L56">
        <v>26888</v>
      </c>
      <c r="M56">
        <v>0</v>
      </c>
      <c r="N56" t="s">
        <v>28</v>
      </c>
      <c r="O56" t="s">
        <v>29</v>
      </c>
      <c r="P56">
        <v>1</v>
      </c>
      <c r="Q56">
        <v>22</v>
      </c>
      <c r="R56">
        <v>0</v>
      </c>
      <c r="S56">
        <v>0</v>
      </c>
      <c r="V56" t="s">
        <v>30</v>
      </c>
    </row>
    <row r="57" spans="1:22" x14ac:dyDescent="0.35">
      <c r="A57" t="s">
        <v>95</v>
      </c>
      <c r="B57" t="s">
        <v>102</v>
      </c>
      <c r="C57" t="s">
        <v>461</v>
      </c>
      <c r="D57" t="s">
        <v>23</v>
      </c>
      <c r="E57" t="s">
        <v>103</v>
      </c>
      <c r="G57" t="s">
        <v>25</v>
      </c>
      <c r="H57" t="s">
        <v>26</v>
      </c>
      <c r="I57" t="s">
        <v>27</v>
      </c>
      <c r="J57" t="s">
        <v>350</v>
      </c>
      <c r="K57">
        <v>30038</v>
      </c>
      <c r="L57">
        <v>30038</v>
      </c>
      <c r="M57">
        <v>0</v>
      </c>
      <c r="N57" t="s">
        <v>28</v>
      </c>
      <c r="O57" t="s">
        <v>29</v>
      </c>
      <c r="P57">
        <v>1</v>
      </c>
      <c r="Q57">
        <v>22</v>
      </c>
      <c r="R57">
        <v>0</v>
      </c>
      <c r="S57">
        <v>0</v>
      </c>
      <c r="V57" t="s">
        <v>30</v>
      </c>
    </row>
    <row r="58" spans="1:22" x14ac:dyDescent="0.35">
      <c r="A58" t="s">
        <v>95</v>
      </c>
      <c r="B58" t="s">
        <v>164</v>
      </c>
      <c r="C58" t="s">
        <v>496</v>
      </c>
      <c r="D58" t="s">
        <v>23</v>
      </c>
      <c r="E58" t="s">
        <v>165</v>
      </c>
      <c r="G58" t="s">
        <v>25</v>
      </c>
      <c r="H58" t="s">
        <v>26</v>
      </c>
      <c r="I58" t="s">
        <v>27</v>
      </c>
      <c r="J58" t="s">
        <v>375</v>
      </c>
      <c r="K58">
        <v>31298</v>
      </c>
      <c r="L58">
        <v>31298</v>
      </c>
      <c r="M58">
        <v>0</v>
      </c>
      <c r="N58" t="s">
        <v>28</v>
      </c>
      <c r="O58" t="s">
        <v>29</v>
      </c>
      <c r="P58">
        <v>1</v>
      </c>
      <c r="Q58">
        <v>22</v>
      </c>
      <c r="R58">
        <v>0</v>
      </c>
      <c r="S58">
        <v>0</v>
      </c>
      <c r="V58" t="s">
        <v>30</v>
      </c>
    </row>
    <row r="59" spans="1:22" x14ac:dyDescent="0.35">
      <c r="A59" t="s">
        <v>95</v>
      </c>
      <c r="B59" t="s">
        <v>169</v>
      </c>
      <c r="C59" t="s">
        <v>500</v>
      </c>
      <c r="D59" t="s">
        <v>23</v>
      </c>
      <c r="E59" t="s">
        <v>170</v>
      </c>
      <c r="G59" t="s">
        <v>25</v>
      </c>
      <c r="H59" t="s">
        <v>26</v>
      </c>
      <c r="I59" t="s">
        <v>27</v>
      </c>
      <c r="J59" t="s">
        <v>347</v>
      </c>
      <c r="K59">
        <v>32099</v>
      </c>
      <c r="L59">
        <v>32099</v>
      </c>
      <c r="M59">
        <v>0</v>
      </c>
      <c r="N59" t="s">
        <v>28</v>
      </c>
      <c r="O59" t="s">
        <v>29</v>
      </c>
      <c r="P59">
        <v>1</v>
      </c>
      <c r="Q59">
        <v>22</v>
      </c>
      <c r="R59">
        <v>0</v>
      </c>
      <c r="S59">
        <v>0</v>
      </c>
      <c r="V59" t="s">
        <v>30</v>
      </c>
    </row>
    <row r="60" spans="1:22" x14ac:dyDescent="0.35">
      <c r="A60" t="s">
        <v>95</v>
      </c>
      <c r="B60" t="s">
        <v>177</v>
      </c>
      <c r="C60" t="s">
        <v>503</v>
      </c>
      <c r="D60" t="s">
        <v>23</v>
      </c>
      <c r="E60" t="s">
        <v>178</v>
      </c>
      <c r="G60" t="s">
        <v>25</v>
      </c>
      <c r="H60" t="s">
        <v>26</v>
      </c>
      <c r="I60" t="s">
        <v>27</v>
      </c>
      <c r="J60" t="s">
        <v>380</v>
      </c>
      <c r="K60">
        <v>30570</v>
      </c>
      <c r="L60">
        <v>30570</v>
      </c>
      <c r="M60">
        <v>0</v>
      </c>
      <c r="N60" t="s">
        <v>28</v>
      </c>
      <c r="O60" t="s">
        <v>29</v>
      </c>
      <c r="P60">
        <v>1</v>
      </c>
      <c r="Q60">
        <v>22</v>
      </c>
      <c r="R60">
        <v>0</v>
      </c>
      <c r="S60">
        <v>0</v>
      </c>
      <c r="V60" t="s">
        <v>30</v>
      </c>
    </row>
    <row r="61" spans="1:22" x14ac:dyDescent="0.35">
      <c r="A61" t="s">
        <v>95</v>
      </c>
      <c r="B61" t="s">
        <v>150</v>
      </c>
      <c r="C61" t="s">
        <v>485</v>
      </c>
      <c r="D61" t="s">
        <v>23</v>
      </c>
      <c r="E61" t="s">
        <v>151</v>
      </c>
      <c r="G61" t="s">
        <v>25</v>
      </c>
      <c r="H61" t="s">
        <v>26</v>
      </c>
      <c r="I61" t="s">
        <v>27</v>
      </c>
      <c r="J61" t="s">
        <v>372</v>
      </c>
      <c r="K61">
        <v>57700</v>
      </c>
      <c r="L61">
        <v>57700</v>
      </c>
      <c r="M61">
        <v>0</v>
      </c>
      <c r="N61" t="s">
        <v>28</v>
      </c>
      <c r="O61" t="s">
        <v>29</v>
      </c>
      <c r="P61">
        <v>1</v>
      </c>
      <c r="Q61">
        <v>22</v>
      </c>
      <c r="R61">
        <v>0</v>
      </c>
      <c r="S61">
        <v>0</v>
      </c>
      <c r="V61" t="s">
        <v>30</v>
      </c>
    </row>
    <row r="62" spans="1:22" x14ac:dyDescent="0.35">
      <c r="A62" t="s">
        <v>95</v>
      </c>
      <c r="B62" t="s">
        <v>190</v>
      </c>
      <c r="C62" t="s">
        <v>510</v>
      </c>
      <c r="D62" t="s">
        <v>23</v>
      </c>
      <c r="E62" t="s">
        <v>191</v>
      </c>
      <c r="G62" t="s">
        <v>25</v>
      </c>
      <c r="H62" t="s">
        <v>26</v>
      </c>
      <c r="I62" t="s">
        <v>27</v>
      </c>
      <c r="J62" t="s">
        <v>95</v>
      </c>
      <c r="K62">
        <v>28800</v>
      </c>
      <c r="L62">
        <v>28800</v>
      </c>
      <c r="M62">
        <v>0</v>
      </c>
      <c r="N62" t="s">
        <v>28</v>
      </c>
      <c r="O62" t="s">
        <v>29</v>
      </c>
      <c r="P62">
        <v>1</v>
      </c>
      <c r="Q62">
        <v>22</v>
      </c>
      <c r="R62">
        <v>0</v>
      </c>
      <c r="S62">
        <v>0</v>
      </c>
      <c r="V62" t="s">
        <v>30</v>
      </c>
    </row>
    <row r="63" spans="1:22" x14ac:dyDescent="0.35">
      <c r="A63" t="s">
        <v>95</v>
      </c>
      <c r="B63" t="s">
        <v>186</v>
      </c>
      <c r="C63" t="s">
        <v>508</v>
      </c>
      <c r="D63" t="s">
        <v>23</v>
      </c>
      <c r="E63" t="s">
        <v>187</v>
      </c>
      <c r="G63" t="s">
        <v>25</v>
      </c>
      <c r="H63" t="s">
        <v>26</v>
      </c>
      <c r="I63" t="s">
        <v>27</v>
      </c>
      <c r="J63" t="s">
        <v>383</v>
      </c>
      <c r="K63">
        <v>28608</v>
      </c>
      <c r="L63">
        <v>28608</v>
      </c>
      <c r="M63">
        <v>0</v>
      </c>
      <c r="N63" t="s">
        <v>28</v>
      </c>
      <c r="O63" t="s">
        <v>29</v>
      </c>
      <c r="P63">
        <v>1</v>
      </c>
      <c r="Q63">
        <v>22</v>
      </c>
      <c r="R63">
        <v>0</v>
      </c>
      <c r="S63">
        <v>0</v>
      </c>
      <c r="V63" t="s">
        <v>30</v>
      </c>
    </row>
    <row r="64" spans="1:22" x14ac:dyDescent="0.35">
      <c r="A64" t="s">
        <v>95</v>
      </c>
      <c r="B64" t="s">
        <v>112</v>
      </c>
      <c r="C64" t="s">
        <v>466</v>
      </c>
      <c r="D64" t="s">
        <v>23</v>
      </c>
      <c r="E64" t="s">
        <v>113</v>
      </c>
      <c r="G64" t="s">
        <v>25</v>
      </c>
      <c r="H64" t="s">
        <v>26</v>
      </c>
      <c r="I64" t="s">
        <v>27</v>
      </c>
      <c r="J64" t="s">
        <v>355</v>
      </c>
      <c r="K64">
        <v>29522</v>
      </c>
      <c r="L64">
        <v>29522</v>
      </c>
      <c r="M64">
        <v>0</v>
      </c>
      <c r="N64" t="s">
        <v>28</v>
      </c>
      <c r="O64" t="s">
        <v>29</v>
      </c>
      <c r="P64">
        <v>1</v>
      </c>
      <c r="Q64">
        <v>22</v>
      </c>
      <c r="R64">
        <v>0</v>
      </c>
      <c r="S64">
        <v>0</v>
      </c>
      <c r="V64" t="s">
        <v>30</v>
      </c>
    </row>
    <row r="65" spans="1:22" x14ac:dyDescent="0.35">
      <c r="A65" t="s">
        <v>95</v>
      </c>
      <c r="B65" t="s">
        <v>181</v>
      </c>
      <c r="C65" t="s">
        <v>506</v>
      </c>
      <c r="D65" t="s">
        <v>23</v>
      </c>
      <c r="E65" t="s">
        <v>182</v>
      </c>
      <c r="G65" t="s">
        <v>25</v>
      </c>
      <c r="H65" t="s">
        <v>26</v>
      </c>
      <c r="I65" t="s">
        <v>27</v>
      </c>
      <c r="J65" t="s">
        <v>363</v>
      </c>
      <c r="K65">
        <v>28800</v>
      </c>
      <c r="L65">
        <v>28800</v>
      </c>
      <c r="M65">
        <v>0</v>
      </c>
      <c r="N65" t="s">
        <v>28</v>
      </c>
      <c r="O65" t="s">
        <v>29</v>
      </c>
      <c r="P65">
        <v>1</v>
      </c>
      <c r="Q65">
        <v>22</v>
      </c>
      <c r="R65">
        <v>0</v>
      </c>
      <c r="S65">
        <v>0</v>
      </c>
      <c r="V65" t="s">
        <v>30</v>
      </c>
    </row>
    <row r="66" spans="1:22" x14ac:dyDescent="0.35">
      <c r="A66" t="s">
        <v>95</v>
      </c>
      <c r="B66" t="s">
        <v>196</v>
      </c>
      <c r="C66" t="s">
        <v>513</v>
      </c>
      <c r="D66" t="s">
        <v>23</v>
      </c>
      <c r="E66" t="s">
        <v>197</v>
      </c>
      <c r="G66" t="s">
        <v>25</v>
      </c>
      <c r="H66" t="s">
        <v>26</v>
      </c>
      <c r="I66" t="s">
        <v>27</v>
      </c>
      <c r="J66" t="s">
        <v>387</v>
      </c>
      <c r="K66">
        <v>35800</v>
      </c>
      <c r="L66">
        <v>35800</v>
      </c>
      <c r="M66">
        <v>0</v>
      </c>
      <c r="N66" t="s">
        <v>28</v>
      </c>
      <c r="O66" t="s">
        <v>29</v>
      </c>
      <c r="P66">
        <v>1</v>
      </c>
      <c r="Q66">
        <v>22</v>
      </c>
      <c r="R66">
        <v>0</v>
      </c>
      <c r="S66">
        <v>0</v>
      </c>
      <c r="V66" t="s">
        <v>30</v>
      </c>
    </row>
    <row r="67" spans="1:22" x14ac:dyDescent="0.35">
      <c r="A67" t="s">
        <v>95</v>
      </c>
      <c r="B67" t="s">
        <v>188</v>
      </c>
      <c r="C67" t="s">
        <v>509</v>
      </c>
      <c r="D67" t="s">
        <v>23</v>
      </c>
      <c r="E67" t="s">
        <v>189</v>
      </c>
      <c r="G67" t="s">
        <v>25</v>
      </c>
      <c r="H67" t="s">
        <v>26</v>
      </c>
      <c r="I67" t="s">
        <v>27</v>
      </c>
      <c r="J67" t="s">
        <v>384</v>
      </c>
      <c r="K67">
        <v>83334</v>
      </c>
      <c r="L67">
        <v>83334</v>
      </c>
      <c r="M67">
        <v>0</v>
      </c>
      <c r="N67" t="s">
        <v>28</v>
      </c>
      <c r="O67" t="s">
        <v>29</v>
      </c>
      <c r="P67">
        <v>1</v>
      </c>
      <c r="Q67">
        <v>22</v>
      </c>
      <c r="R67">
        <v>0</v>
      </c>
      <c r="S67">
        <v>0</v>
      </c>
      <c r="V67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A3" zoomScaleNormal="100" workbookViewId="0">
      <selection activeCell="B12" sqref="B12"/>
    </sheetView>
  </sheetViews>
  <sheetFormatPr defaultRowHeight="14.5" x14ac:dyDescent="0.35"/>
  <cols>
    <col min="1" max="1" width="21.36328125" bestFit="1" customWidth="1"/>
    <col min="2" max="2" width="22.6328125" bestFit="1" customWidth="1"/>
    <col min="3" max="5" width="14" customWidth="1"/>
    <col min="6" max="6" width="14" bestFit="1" customWidth="1"/>
    <col min="7" max="7" width="13.81640625" bestFit="1" customWidth="1"/>
  </cols>
  <sheetData>
    <row r="1" spans="1:2" x14ac:dyDescent="0.35">
      <c r="A1" s="1" t="s">
        <v>395</v>
      </c>
      <c r="B1" t="s">
        <v>397</v>
      </c>
    </row>
    <row r="2" spans="1:2" x14ac:dyDescent="0.35">
      <c r="A2" s="2" t="s">
        <v>254</v>
      </c>
      <c r="B2" s="7">
        <v>5</v>
      </c>
    </row>
    <row r="3" spans="1:2" x14ac:dyDescent="0.35">
      <c r="A3" s="31" t="s">
        <v>591</v>
      </c>
      <c r="B3" s="7">
        <v>1</v>
      </c>
    </row>
    <row r="4" spans="1:2" x14ac:dyDescent="0.35">
      <c r="A4" s="31" t="s">
        <v>252</v>
      </c>
      <c r="B4" s="7">
        <v>1</v>
      </c>
    </row>
    <row r="5" spans="1:2" x14ac:dyDescent="0.35">
      <c r="A5" s="31" t="s">
        <v>335</v>
      </c>
      <c r="B5" s="7">
        <v>3</v>
      </c>
    </row>
    <row r="6" spans="1:2" x14ac:dyDescent="0.35">
      <c r="A6" s="2" t="s">
        <v>32</v>
      </c>
      <c r="B6" s="7">
        <v>7</v>
      </c>
    </row>
    <row r="7" spans="1:2" x14ac:dyDescent="0.35">
      <c r="A7" s="31" t="s">
        <v>21</v>
      </c>
      <c r="B7" s="7">
        <v>2</v>
      </c>
    </row>
    <row r="8" spans="1:2" x14ac:dyDescent="0.35">
      <c r="A8" s="31" t="s">
        <v>87</v>
      </c>
      <c r="B8" s="7">
        <v>2</v>
      </c>
    </row>
    <row r="9" spans="1:2" x14ac:dyDescent="0.35">
      <c r="A9" s="31" t="s">
        <v>95</v>
      </c>
      <c r="B9" s="7">
        <v>3</v>
      </c>
    </row>
    <row r="10" spans="1:2" x14ac:dyDescent="0.35">
      <c r="A10" s="2" t="s">
        <v>23</v>
      </c>
      <c r="B10" s="7">
        <v>167</v>
      </c>
    </row>
    <row r="11" spans="1:2" x14ac:dyDescent="0.35">
      <c r="A11" s="31" t="s">
        <v>401</v>
      </c>
      <c r="B11" s="7">
        <v>1</v>
      </c>
    </row>
    <row r="12" spans="1:2" x14ac:dyDescent="0.35">
      <c r="A12" s="31" t="s">
        <v>21</v>
      </c>
      <c r="B12" s="7">
        <v>28</v>
      </c>
    </row>
    <row r="13" spans="1:2" x14ac:dyDescent="0.35">
      <c r="A13" s="31" t="s">
        <v>95</v>
      </c>
      <c r="B13" s="7">
        <v>66</v>
      </c>
    </row>
    <row r="14" spans="1:2" x14ac:dyDescent="0.35">
      <c r="A14" s="31" t="s">
        <v>202</v>
      </c>
      <c r="B14" s="7">
        <v>8</v>
      </c>
    </row>
    <row r="15" spans="1:2" x14ac:dyDescent="0.35">
      <c r="A15" s="31" t="s">
        <v>591</v>
      </c>
      <c r="B15" s="7">
        <v>6</v>
      </c>
    </row>
    <row r="16" spans="1:2" x14ac:dyDescent="0.35">
      <c r="A16" s="31" t="s">
        <v>216</v>
      </c>
      <c r="B16" s="7">
        <v>1</v>
      </c>
    </row>
    <row r="17" spans="1:2" x14ac:dyDescent="0.35">
      <c r="A17" s="31" t="s">
        <v>592</v>
      </c>
      <c r="B17" s="7">
        <v>1</v>
      </c>
    </row>
    <row r="18" spans="1:2" x14ac:dyDescent="0.35">
      <c r="A18" s="31" t="s">
        <v>221</v>
      </c>
      <c r="B18" s="7">
        <v>4</v>
      </c>
    </row>
    <row r="19" spans="1:2" x14ac:dyDescent="0.35">
      <c r="A19" s="31" t="s">
        <v>232</v>
      </c>
      <c r="B19" s="7">
        <v>3</v>
      </c>
    </row>
    <row r="20" spans="1:2" x14ac:dyDescent="0.35">
      <c r="A20" s="31" t="s">
        <v>239</v>
      </c>
      <c r="B20" s="7">
        <v>7</v>
      </c>
    </row>
    <row r="21" spans="1:2" x14ac:dyDescent="0.35">
      <c r="A21" s="31" t="s">
        <v>255</v>
      </c>
      <c r="B21" s="7">
        <v>2</v>
      </c>
    </row>
    <row r="22" spans="1:2" x14ac:dyDescent="0.35">
      <c r="A22" s="31" t="s">
        <v>261</v>
      </c>
      <c r="B22" s="7">
        <v>1</v>
      </c>
    </row>
    <row r="23" spans="1:2" x14ac:dyDescent="0.35">
      <c r="A23" s="31" t="s">
        <v>263</v>
      </c>
      <c r="B23" s="7">
        <v>2</v>
      </c>
    </row>
    <row r="24" spans="1:2" x14ac:dyDescent="0.35">
      <c r="A24" s="31" t="s">
        <v>326</v>
      </c>
      <c r="B24" s="7">
        <v>6</v>
      </c>
    </row>
    <row r="25" spans="1:2" x14ac:dyDescent="0.35">
      <c r="A25" s="31" t="s">
        <v>267</v>
      </c>
      <c r="B25" s="7">
        <v>2</v>
      </c>
    </row>
    <row r="26" spans="1:2" x14ac:dyDescent="0.35">
      <c r="A26" s="31" t="s">
        <v>271</v>
      </c>
      <c r="B26" s="7">
        <v>2</v>
      </c>
    </row>
    <row r="27" spans="1:2" x14ac:dyDescent="0.35">
      <c r="A27" s="31" t="s">
        <v>275</v>
      </c>
      <c r="B27" s="7">
        <v>16</v>
      </c>
    </row>
    <row r="28" spans="1:2" x14ac:dyDescent="0.35">
      <c r="A28" s="31" t="s">
        <v>303</v>
      </c>
      <c r="B28" s="7">
        <v>2</v>
      </c>
    </row>
    <row r="29" spans="1:2" x14ac:dyDescent="0.35">
      <c r="A29" s="31" t="s">
        <v>308</v>
      </c>
      <c r="B29" s="7">
        <v>1</v>
      </c>
    </row>
    <row r="30" spans="1:2" x14ac:dyDescent="0.35">
      <c r="A30" s="31" t="s">
        <v>311</v>
      </c>
      <c r="B30" s="7">
        <v>8</v>
      </c>
    </row>
    <row r="31" spans="1:2" x14ac:dyDescent="0.35">
      <c r="A31" s="2" t="s">
        <v>403</v>
      </c>
      <c r="B31" s="7"/>
    </row>
    <row r="32" spans="1:2" x14ac:dyDescent="0.35">
      <c r="A32" s="31" t="s">
        <v>403</v>
      </c>
      <c r="B32" s="7"/>
    </row>
    <row r="33" spans="1:2" x14ac:dyDescent="0.35">
      <c r="A33" s="2" t="s">
        <v>396</v>
      </c>
      <c r="B33" s="7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D10" sqref="D10"/>
    </sheetView>
  </sheetViews>
  <sheetFormatPr defaultRowHeight="14.5" x14ac:dyDescent="0.35"/>
  <cols>
    <col min="1" max="1" width="19.54296875" bestFit="1" customWidth="1"/>
    <col min="2" max="2" width="26.81640625" bestFit="1" customWidth="1"/>
    <col min="3" max="3" width="13.81640625" bestFit="1" customWidth="1"/>
    <col min="4" max="4" width="14.1796875" bestFit="1" customWidth="1"/>
    <col min="5" max="5" width="13.26953125" bestFit="1" customWidth="1"/>
    <col min="6" max="7" width="6.81640625" bestFit="1" customWidth="1"/>
    <col min="8" max="8" width="3.81640625" bestFit="1" customWidth="1"/>
    <col min="9" max="9" width="10.90625" bestFit="1" customWidth="1"/>
    <col min="10" max="10" width="9.90625" bestFit="1" customWidth="1"/>
    <col min="11" max="11" width="13" bestFit="1" customWidth="1"/>
    <col min="12" max="12" width="12" bestFit="1" customWidth="1"/>
    <col min="13" max="13" width="17.453125" bestFit="1" customWidth="1"/>
    <col min="14" max="14" width="17.54296875" bestFit="1" customWidth="1"/>
    <col min="15" max="15" width="15.90625" bestFit="1" customWidth="1"/>
    <col min="16" max="16" width="7" bestFit="1" customWidth="1"/>
    <col min="17" max="18" width="10" bestFit="1" customWidth="1"/>
  </cols>
  <sheetData>
    <row r="1" spans="1:18" x14ac:dyDescent="0.35">
      <c r="A1" s="11" t="s">
        <v>0</v>
      </c>
      <c r="B1" s="11" t="s">
        <v>2</v>
      </c>
      <c r="C1" s="11" t="s">
        <v>1</v>
      </c>
      <c r="D1" s="11" t="s">
        <v>3</v>
      </c>
      <c r="E1" s="11" t="s">
        <v>4</v>
      </c>
      <c r="F1" s="10" t="s">
        <v>8</v>
      </c>
      <c r="G1" s="10" t="s">
        <v>9</v>
      </c>
      <c r="H1" s="10" t="s">
        <v>10</v>
      </c>
      <c r="I1" s="10" t="s">
        <v>11</v>
      </c>
      <c r="J1" s="11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0" t="s">
        <v>19</v>
      </c>
      <c r="R1" s="10" t="s">
        <v>20</v>
      </c>
    </row>
    <row r="2" spans="1:18" x14ac:dyDescent="0.35">
      <c r="A2" s="18" t="s">
        <v>21</v>
      </c>
      <c r="B2" s="32" t="s">
        <v>606</v>
      </c>
      <c r="C2" s="16" t="s">
        <v>607</v>
      </c>
      <c r="D2" s="18" t="s">
        <v>23</v>
      </c>
      <c r="E2" s="9">
        <v>46069</v>
      </c>
      <c r="F2" s="8">
        <v>38106</v>
      </c>
      <c r="G2" s="13">
        <v>38106</v>
      </c>
      <c r="H2" s="13">
        <v>0</v>
      </c>
      <c r="I2" s="8" t="s">
        <v>28</v>
      </c>
      <c r="J2" s="18" t="s">
        <v>29</v>
      </c>
      <c r="K2" s="8"/>
      <c r="L2" s="8"/>
      <c r="M2" s="8"/>
      <c r="N2" s="8"/>
      <c r="O2" s="8"/>
      <c r="P2" s="8"/>
      <c r="Q2" s="8" t="s">
        <v>30</v>
      </c>
      <c r="R2" s="8" t="s">
        <v>334</v>
      </c>
    </row>
    <row r="3" spans="1:18" x14ac:dyDescent="0.35">
      <c r="A3" s="18" t="s">
        <v>95</v>
      </c>
      <c r="B3" s="18" t="s">
        <v>339</v>
      </c>
      <c r="C3" s="16" t="s">
        <v>471</v>
      </c>
      <c r="D3" s="18" t="s">
        <v>23</v>
      </c>
      <c r="E3" s="9">
        <v>46043</v>
      </c>
      <c r="F3" s="8">
        <v>55000</v>
      </c>
      <c r="G3" s="13">
        <v>55000</v>
      </c>
      <c r="H3" s="13">
        <v>0</v>
      </c>
      <c r="I3" s="8" t="s">
        <v>28</v>
      </c>
      <c r="J3" s="18" t="s">
        <v>29</v>
      </c>
      <c r="K3" s="8"/>
      <c r="L3" s="8"/>
      <c r="M3" s="8"/>
      <c r="N3" s="8"/>
      <c r="O3" s="8"/>
      <c r="P3" s="8"/>
      <c r="Q3" s="8" t="s">
        <v>30</v>
      </c>
      <c r="R3" s="17" t="s">
        <v>334</v>
      </c>
    </row>
    <row r="4" spans="1:18" x14ac:dyDescent="0.35">
      <c r="A4" s="18" t="s">
        <v>95</v>
      </c>
      <c r="B4" s="18" t="s">
        <v>340</v>
      </c>
      <c r="C4" s="16" t="s">
        <v>487</v>
      </c>
      <c r="D4" s="18" t="s">
        <v>23</v>
      </c>
      <c r="E4" s="9">
        <v>46044</v>
      </c>
      <c r="F4" s="8">
        <v>75000</v>
      </c>
      <c r="G4" s="13">
        <v>75000</v>
      </c>
      <c r="H4" s="13">
        <v>0</v>
      </c>
      <c r="I4" s="8" t="s">
        <v>28</v>
      </c>
      <c r="J4" s="18" t="s">
        <v>29</v>
      </c>
      <c r="K4" s="8"/>
      <c r="L4" s="8"/>
      <c r="M4" s="8"/>
      <c r="N4" s="8"/>
      <c r="O4" s="8"/>
      <c r="P4" s="8"/>
      <c r="Q4" s="8" t="s">
        <v>30</v>
      </c>
      <c r="R4" s="17" t="s">
        <v>334</v>
      </c>
    </row>
    <row r="5" spans="1:18" x14ac:dyDescent="0.35">
      <c r="A5" s="18" t="s">
        <v>95</v>
      </c>
      <c r="B5" s="18" t="s">
        <v>342</v>
      </c>
      <c r="C5" s="16" t="s">
        <v>459</v>
      </c>
      <c r="D5" s="18" t="s">
        <v>23</v>
      </c>
      <c r="E5" s="9">
        <v>46055</v>
      </c>
      <c r="F5" s="8">
        <v>69300</v>
      </c>
      <c r="G5" s="13">
        <v>69300</v>
      </c>
      <c r="H5" s="13">
        <v>0</v>
      </c>
      <c r="I5" s="8" t="s">
        <v>28</v>
      </c>
      <c r="J5" s="18" t="s">
        <v>29</v>
      </c>
      <c r="K5" s="8"/>
      <c r="L5" s="8"/>
      <c r="M5" s="8"/>
      <c r="N5" s="8"/>
      <c r="O5" s="8"/>
      <c r="P5" s="8"/>
      <c r="Q5" s="8" t="s">
        <v>30</v>
      </c>
      <c r="R5" s="17" t="s">
        <v>334</v>
      </c>
    </row>
    <row r="6" spans="1:18" x14ac:dyDescent="0.35">
      <c r="A6" s="18" t="s">
        <v>95</v>
      </c>
      <c r="B6" s="18" t="s">
        <v>341</v>
      </c>
      <c r="C6" s="16" t="s">
        <v>493</v>
      </c>
      <c r="D6" s="18" t="s">
        <v>23</v>
      </c>
      <c r="E6" s="9">
        <v>46051</v>
      </c>
      <c r="F6" s="8">
        <v>34500</v>
      </c>
      <c r="G6" s="13">
        <v>34500</v>
      </c>
      <c r="H6" s="13">
        <v>0</v>
      </c>
      <c r="I6" s="8" t="s">
        <v>28</v>
      </c>
      <c r="J6" s="18" t="s">
        <v>29</v>
      </c>
      <c r="K6" s="8"/>
      <c r="L6" s="8"/>
      <c r="M6" s="8"/>
      <c r="N6" s="8"/>
      <c r="O6" s="8"/>
      <c r="P6" s="8"/>
      <c r="Q6" s="8" t="s">
        <v>30</v>
      </c>
      <c r="R6" s="17" t="s">
        <v>334</v>
      </c>
    </row>
    <row r="7" spans="1:18" x14ac:dyDescent="0.35">
      <c r="A7" s="18" t="s">
        <v>95</v>
      </c>
      <c r="B7" s="18" t="s">
        <v>343</v>
      </c>
      <c r="C7" s="16" t="s">
        <v>480</v>
      </c>
      <c r="D7" s="18" t="s">
        <v>23</v>
      </c>
      <c r="E7" s="9">
        <v>46055</v>
      </c>
      <c r="F7" s="8">
        <v>20087</v>
      </c>
      <c r="G7" s="13">
        <v>20087</v>
      </c>
      <c r="H7" s="13">
        <v>0</v>
      </c>
      <c r="I7" s="8" t="s">
        <v>28</v>
      </c>
      <c r="J7" s="18" t="s">
        <v>29</v>
      </c>
      <c r="K7" s="8"/>
      <c r="L7" s="8"/>
      <c r="M7" s="8"/>
      <c r="N7" s="8"/>
      <c r="O7" s="8"/>
      <c r="P7" s="8"/>
      <c r="Q7" s="8" t="s">
        <v>30</v>
      </c>
      <c r="R7" s="17" t="s">
        <v>334</v>
      </c>
    </row>
    <row r="8" spans="1:18" x14ac:dyDescent="0.35">
      <c r="A8" s="18" t="s">
        <v>95</v>
      </c>
      <c r="B8" s="18" t="s">
        <v>344</v>
      </c>
      <c r="C8" s="16" t="s">
        <v>499</v>
      </c>
      <c r="D8" s="18" t="s">
        <v>23</v>
      </c>
      <c r="E8" s="9">
        <v>46069</v>
      </c>
      <c r="F8" s="8">
        <v>108333</v>
      </c>
      <c r="G8" s="13">
        <v>108333</v>
      </c>
      <c r="H8" s="13">
        <v>0</v>
      </c>
      <c r="I8" s="8" t="s">
        <v>28</v>
      </c>
      <c r="J8" s="18" t="s">
        <v>29</v>
      </c>
      <c r="K8" s="8"/>
      <c r="L8" s="8"/>
      <c r="M8" s="8"/>
      <c r="N8" s="8"/>
      <c r="O8" s="8"/>
      <c r="P8" s="8"/>
      <c r="Q8" s="8" t="s">
        <v>30</v>
      </c>
      <c r="R8" s="17" t="s">
        <v>334</v>
      </c>
    </row>
    <row r="9" spans="1:18" x14ac:dyDescent="0.35">
      <c r="A9" s="18" t="s">
        <v>95</v>
      </c>
      <c r="B9" s="18" t="s">
        <v>595</v>
      </c>
      <c r="C9" s="16" t="s">
        <v>514</v>
      </c>
      <c r="D9" s="18" t="s">
        <v>23</v>
      </c>
      <c r="E9" s="9">
        <v>46045</v>
      </c>
      <c r="F9" s="8">
        <v>87500</v>
      </c>
      <c r="G9" s="13">
        <v>87500</v>
      </c>
      <c r="H9" s="13">
        <v>0</v>
      </c>
      <c r="I9" s="8" t="s">
        <v>28</v>
      </c>
      <c r="J9" s="18" t="s">
        <v>29</v>
      </c>
      <c r="K9" s="8"/>
      <c r="L9" s="8"/>
      <c r="M9" s="8"/>
      <c r="N9" s="8"/>
      <c r="O9" s="8"/>
      <c r="P9" s="8"/>
      <c r="Q9" s="8" t="s">
        <v>30</v>
      </c>
      <c r="R9" s="17" t="s">
        <v>334</v>
      </c>
    </row>
    <row r="10" spans="1:18" x14ac:dyDescent="0.35">
      <c r="A10" s="18" t="s">
        <v>95</v>
      </c>
      <c r="B10" s="18" t="s">
        <v>596</v>
      </c>
      <c r="C10" s="14" t="s">
        <v>423</v>
      </c>
      <c r="D10" s="18" t="s">
        <v>23</v>
      </c>
      <c r="E10" s="9">
        <v>46063</v>
      </c>
      <c r="F10" s="8">
        <v>35292</v>
      </c>
      <c r="G10" s="13">
        <v>35292</v>
      </c>
      <c r="H10" s="13">
        <v>0</v>
      </c>
      <c r="I10" s="8" t="s">
        <v>28</v>
      </c>
      <c r="J10" s="18" t="s">
        <v>29</v>
      </c>
      <c r="K10" s="8"/>
      <c r="L10" s="8"/>
      <c r="M10" s="8"/>
      <c r="N10" s="8"/>
      <c r="O10" s="8"/>
      <c r="P10" s="8"/>
      <c r="Q10" s="8" t="s">
        <v>30</v>
      </c>
      <c r="R10" s="17" t="s">
        <v>334</v>
      </c>
    </row>
    <row r="11" spans="1:18" x14ac:dyDescent="0.35">
      <c r="A11" s="18" t="s">
        <v>95</v>
      </c>
      <c r="B11" s="18" t="s">
        <v>597</v>
      </c>
      <c r="C11" s="16" t="s">
        <v>505</v>
      </c>
      <c r="D11" s="18" t="s">
        <v>23</v>
      </c>
      <c r="E11" s="9">
        <v>46055</v>
      </c>
      <c r="F11" s="8">
        <v>44117</v>
      </c>
      <c r="G11" s="13">
        <v>44117</v>
      </c>
      <c r="H11" s="13">
        <v>0</v>
      </c>
      <c r="I11" s="8" t="s">
        <v>28</v>
      </c>
      <c r="J11" s="18" t="s">
        <v>29</v>
      </c>
      <c r="K11" s="8"/>
      <c r="L11" s="8"/>
      <c r="M11" s="8"/>
      <c r="N11" s="8"/>
      <c r="O11" s="8"/>
      <c r="P11" s="8"/>
      <c r="Q11" s="8" t="s">
        <v>30</v>
      </c>
      <c r="R11" s="17" t="s">
        <v>334</v>
      </c>
    </row>
  </sheetData>
  <conditionalFormatting sqref="C1:C11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Validation'!$A$1:$A$3</xm:f>
          </x14:formula1>
          <xm:sqref>D1:D11</xm:sqref>
        </x14:dataValidation>
        <x14:dataValidation type="list" allowBlank="1" showInputMessage="1" showErrorMessage="1">
          <x14:formula1>
            <xm:f>'Data Validation'!$C$1:$C$2</xm:f>
          </x14:formula1>
          <xm:sqref>Q1:Q11</xm:sqref>
        </x14:dataValidation>
        <x14:dataValidation type="list" allowBlank="1" showInputMessage="1" showErrorMessage="1">
          <x14:formula1>
            <xm:f>'Data Validation'!$E$1:$E$2</xm:f>
          </x14:formula1>
          <xm:sqref>J1:J11</xm:sqref>
        </x14:dataValidation>
        <x14:dataValidation type="list" allowBlank="1" showInputMessage="1" showErrorMessage="1">
          <x14:formula1>
            <xm:f>'Data Validation'!$G$1:$G$4</xm:f>
          </x14:formula1>
          <xm:sqref>I1:I11</xm:sqref>
        </x14:dataValidation>
        <x14:dataValidation type="list" allowBlank="1" showInputMessage="1" showErrorMessage="1">
          <x14:formula1>
            <xm:f>'Data Validation'!$I$1:$I$3</xm:f>
          </x14:formula1>
          <xm:sqref>R3:R11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Validation</vt:lpstr>
      <vt:lpstr>Sheet3</vt:lpstr>
      <vt:lpstr>Sheet2</vt:lpstr>
      <vt:lpstr>New Joiners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Maheshwari</dc:creator>
  <cp:lastModifiedBy>Kanishk Maheshwari</cp:lastModifiedBy>
  <cp:lastPrinted>2026-02-21T12:22:16Z</cp:lastPrinted>
  <dcterms:created xsi:type="dcterms:W3CDTF">2015-06-05T18:17:20Z</dcterms:created>
  <dcterms:modified xsi:type="dcterms:W3CDTF">2026-02-28T09:06:50Z</dcterms:modified>
</cp:coreProperties>
</file>