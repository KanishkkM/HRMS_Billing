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jesh Ghevariya Bill (2)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354911"/>
          <a:ext cx="1352006" cy="1321253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622971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49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6" t="inlineStr">
        <is>
          <t>Jobuss Resources Pvt Ltd.</t>
        </is>
      </c>
      <c r="B2" s="16" t="n"/>
      <c r="C2" s="16" t="n"/>
      <c r="D2" s="16" t="n"/>
      <c r="E2" s="16" t="n"/>
      <c r="F2" s="79" t="n"/>
      <c r="G2" s="16" t="n"/>
      <c r="H2" s="17" t="n"/>
    </row>
    <row r="3" ht="17.4" customHeight="1" thickBot="1">
      <c r="A3" s="89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0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33" t="n"/>
      <c r="H7" s="5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27" t="n"/>
    </row>
    <row r="9">
      <c r="A9" s="95" t="inlineStr">
        <is>
          <t>TTC Industrial Area, Thane Belapur Road,</t>
        </is>
      </c>
      <c r="E9" s="96" t="n"/>
      <c r="F9" s="97" t="inlineStr">
        <is>
          <t>GST No:  27AAECJ2353C1ZX</t>
        </is>
      </c>
      <c r="H9" s="27" t="n"/>
      <c r="I9" s="6" t="n"/>
    </row>
    <row r="10">
      <c r="A10" s="95" t="inlineStr">
        <is>
          <t>Navi Mumbai, Maharashtra- 400701</t>
        </is>
      </c>
      <c r="E10" s="96" t="n"/>
      <c r="F10" s="97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27AABCR1718E2ZO</t>
        </is>
      </c>
      <c r="C11" s="8" t="n"/>
      <c r="D11" s="8" t="n"/>
      <c r="E11" s="9" t="n"/>
      <c r="F11" s="97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>AABCR1718E</t>
        </is>
      </c>
      <c r="C12" s="8" t="n"/>
      <c r="D12" s="8" t="n"/>
      <c r="E12" s="9" t="n"/>
      <c r="F12" s="10" t="inlineStr">
        <is>
          <t>Bill Date :</t>
        </is>
      </c>
      <c r="G12" s="98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Rajesh Ghevariya</t>
        </is>
      </c>
      <c r="C13" s="8" t="n"/>
      <c r="D13" s="8" t="n"/>
      <c r="E13" s="9" t="n"/>
      <c r="F13" s="52" t="inlineStr">
        <is>
          <t>Due Date:</t>
        </is>
      </c>
      <c r="G13" s="53" t="inlineStr">
        <is>
          <t>03-03-2026</t>
        </is>
      </c>
      <c r="H13" s="54" t="n"/>
    </row>
    <row r="14">
      <c r="A14" s="95" t="inlineStr">
        <is>
          <t>WO No.- XS1/ 5500129268</t>
        </is>
      </c>
      <c r="E14" s="96" t="n"/>
      <c r="F14" s="99" t="inlineStr">
        <is>
          <t>SAC Code:  998512 (Contract Staffing Services)</t>
        </is>
      </c>
      <c r="H14" s="27" t="n"/>
    </row>
    <row r="15" ht="15" customHeight="1" thickBot="1">
      <c r="A15" s="95" t="n"/>
      <c r="E15" s="96" t="n"/>
      <c r="F15" s="99" t="inlineStr">
        <is>
          <t>Place of Service: Mumbai</t>
        </is>
      </c>
      <c r="H15" s="27" t="n"/>
      <c r="I15" s="13" t="n"/>
      <c r="K15" s="100" t="n"/>
    </row>
    <row r="16" ht="18.6" customHeight="1" thickBot="1">
      <c r="A16" s="40" t="n"/>
      <c r="B16" s="61" t="n"/>
      <c r="C16" s="16" t="n"/>
      <c r="D16" s="16" t="n"/>
      <c r="E16" s="17" t="n"/>
      <c r="F16" s="41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1" t="inlineStr">
        <is>
          <t>Contract staffing services for Assistance in Respective Department Period: 25 Jan 2026 to 24 Feb 2026</t>
        </is>
      </c>
      <c r="G17" s="27" t="n"/>
      <c r="H17" s="102" t="n">
        <v>220000</v>
      </c>
    </row>
    <row r="18">
      <c r="A18" s="22" t="n"/>
      <c r="G18" s="27" t="n"/>
      <c r="H18" s="103" t="n"/>
    </row>
    <row r="19">
      <c r="A19" s="22" t="n"/>
      <c r="G19" s="27" t="n"/>
      <c r="H19" s="103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4" t="n"/>
    </row>
    <row r="21" ht="15.6" customHeight="1">
      <c r="A21" s="71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19800</v>
      </c>
    </row>
    <row r="22" ht="16.2" customHeight="1" thickBot="1">
      <c r="A22" s="72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19800</v>
      </c>
    </row>
    <row r="23">
      <c r="A23" s="22" t="n"/>
      <c r="H23" s="111" t="n">
        <v>259600</v>
      </c>
    </row>
    <row r="24" ht="15.6" customHeight="1">
      <c r="A24" s="23" t="inlineStr">
        <is>
          <t>Rupees:</t>
        </is>
      </c>
      <c r="B24" s="24" t="inlineStr">
        <is>
          <t>Two Lakh, Fifty-Nine Thousand, Six Hundred Only</t>
        </is>
      </c>
      <c r="H24" s="103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2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3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4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4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4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4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5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24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24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Rajesh Ghevariya</t>
        </is>
      </c>
      <c r="B2" s="118" t="inlineStr">
        <is>
          <t>JB-10187</t>
        </is>
      </c>
      <c r="C2" s="118" t="inlineStr">
        <is>
          <t>RACHANA VISHNU MORE</t>
        </is>
      </c>
      <c r="D2" s="118" t="n">
        <v>100000</v>
      </c>
      <c r="E2" s="118" t="n">
        <v>31</v>
      </c>
      <c r="F2" s="118" t="n">
        <v>31</v>
      </c>
      <c r="G2" s="118" t="n">
        <v>4</v>
      </c>
      <c r="H2" s="118" t="n">
        <v>5</v>
      </c>
      <c r="I2" s="118" t="n">
        <v>1</v>
      </c>
      <c r="J2" s="118" t="n">
        <v>21</v>
      </c>
      <c r="K2" s="118" t="n">
        <v>31</v>
      </c>
      <c r="L2" s="118" t="n">
        <v>0</v>
      </c>
      <c r="M2" s="118" t="n">
        <v>0</v>
      </c>
      <c r="N2" s="118" t="n">
        <v>31</v>
      </c>
      <c r="O2" s="118" t="n">
        <v>100000</v>
      </c>
      <c r="P2" s="118" t="n">
        <v>10000</v>
      </c>
      <c r="Q2" s="118" t="n">
        <v>0</v>
      </c>
      <c r="R2" s="118" t="n">
        <v>0</v>
      </c>
      <c r="S2" s="118" t="n">
        <v>110000</v>
      </c>
      <c r="T2" s="118" t="n">
        <v>129800</v>
      </c>
      <c r="U2" s="118" t="n">
        <v/>
      </c>
      <c r="V2" s="118" t="n">
        <v>9900</v>
      </c>
      <c r="W2" s="118" t="n">
        <v>9900</v>
      </c>
      <c r="X2" s="118" t="n">
        <v/>
      </c>
    </row>
    <row r="3">
      <c r="A3" s="118" t="inlineStr">
        <is>
          <t>Rajesh Ghevariya</t>
        </is>
      </c>
      <c r="B3" s="118" t="inlineStr">
        <is>
          <t>JB-10188</t>
        </is>
      </c>
      <c r="C3" s="118" t="inlineStr">
        <is>
          <t>PRAKASH VAJUBHAI WADHEL</t>
        </is>
      </c>
      <c r="D3" s="118" t="n">
        <v>100000</v>
      </c>
      <c r="E3" s="118" t="n">
        <v>31</v>
      </c>
      <c r="F3" s="118" t="n">
        <v>31</v>
      </c>
      <c r="G3" s="118" t="n">
        <v>4</v>
      </c>
      <c r="H3" s="118" t="n">
        <v>5</v>
      </c>
      <c r="I3" s="118" t="n">
        <v>1</v>
      </c>
      <c r="J3" s="118" t="n">
        <v>21</v>
      </c>
      <c r="K3" s="118" t="n">
        <v>31</v>
      </c>
      <c r="L3" s="118" t="n">
        <v>0</v>
      </c>
      <c r="M3" s="118" t="n">
        <v>0</v>
      </c>
      <c r="N3" s="118" t="n">
        <v>31</v>
      </c>
      <c r="O3" s="118" t="n">
        <v>100000</v>
      </c>
      <c r="P3" s="118" t="n">
        <v>10000</v>
      </c>
      <c r="Q3" s="118" t="n">
        <v>0</v>
      </c>
      <c r="R3" s="118" t="n">
        <v>0</v>
      </c>
      <c r="S3" s="118" t="n">
        <v>110000</v>
      </c>
      <c r="T3" s="118" t="n">
        <v>129800</v>
      </c>
      <c r="U3" s="118" t="n">
        <v/>
      </c>
      <c r="V3" s="118" t="n">
        <v>9900</v>
      </c>
      <c r="W3" s="118" t="n">
        <v>9900</v>
      </c>
      <c r="X3" s="118" t="n">
        <v/>
      </c>
    </row>
    <row r="4">
      <c r="A4" s="119" t="inlineStr">
        <is>
          <t>TOTAL</t>
        </is>
      </c>
      <c r="B4" s="119" t="n"/>
      <c r="C4" s="119" t="n"/>
      <c r="D4" s="119">
        <f>ROUND(SUM(D2:D3), 0)</f>
        <v/>
      </c>
      <c r="E4" s="119">
        <f>ROUND(SUM(E2:E3), 0)</f>
        <v/>
      </c>
      <c r="F4" s="119">
        <f>ROUND(SUM(F2:F3), 0)</f>
        <v/>
      </c>
      <c r="G4" s="119">
        <f>ROUND(SUM(G2:G3), 0)</f>
        <v/>
      </c>
      <c r="H4" s="119">
        <f>ROUND(SUM(H2:H3), 0)</f>
        <v/>
      </c>
      <c r="I4" s="119">
        <f>ROUND(SUM(I2:I3), 0)</f>
        <v/>
      </c>
      <c r="J4" s="119">
        <f>ROUND(SUM(J2:J3), 0)</f>
        <v/>
      </c>
      <c r="K4" s="119">
        <f>ROUND(SUM(K2:K3), 0)</f>
        <v/>
      </c>
      <c r="L4" s="119">
        <f>ROUND(SUM(L2:L3), 0)</f>
        <v/>
      </c>
      <c r="M4" s="119">
        <f>ROUND(SUM(M2:M3), 0)</f>
        <v/>
      </c>
      <c r="N4" s="119">
        <f>ROUND(SUM(N2:N3), 0)</f>
        <v/>
      </c>
      <c r="O4" s="119">
        <f>ROUND(SUM(O2:O3), 0)</f>
        <v/>
      </c>
      <c r="P4" s="119">
        <f>ROUND(SUM(P2:P3), 0)</f>
        <v/>
      </c>
      <c r="Q4" s="119">
        <f>ROUND(SUM(Q2:Q3), 0)</f>
        <v/>
      </c>
      <c r="R4" s="119">
        <f>ROUND(SUM(R2:R3), 0)</f>
        <v/>
      </c>
      <c r="S4" s="119">
        <f>ROUND(SUM(S2:S3), 0)</f>
        <v/>
      </c>
      <c r="T4" s="119">
        <f>ROUND(SUM(S4), 0)</f>
        <v/>
      </c>
      <c r="U4" s="119" t="n"/>
      <c r="V4" s="119">
        <f>CEILING(SUM(V2:V3), 1)</f>
        <v/>
      </c>
      <c r="W4" s="119">
        <f>CEILING(SUM(W2:W3), 1)</f>
        <v/>
      </c>
      <c r="X4" s="119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2026-01-31T08:46:56Z</dcterms:created>
  <dcterms:modified xsi:type="dcterms:W3CDTF">2026-02-28T11:21:53Z</dcterms:modified>
  <cp:lastModifiedBy>Kanishk Maheshwari</cp:lastModifiedBy>
  <cp:lastPrinted>2026-01-31T08:46:58Z</cp:lastPrinted>
</cp:coreProperties>
</file>