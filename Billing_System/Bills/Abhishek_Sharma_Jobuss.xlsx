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Abhishek Sharma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3" applyAlignment="1" pivotButton="0" quotePrefix="0" xfId="0">
      <alignment horizontal="left" wrapText="1"/>
    </xf>
    <xf numFmtId="0" fontId="0" fillId="0" borderId="10" pivotButton="0" quotePrefix="0" xfId="0"/>
    <xf numFmtId="0" fontId="8" fillId="0" borderId="24" applyAlignment="1" pivotButton="0" quotePrefix="0" xfId="0">
      <alignment horizontal="left" vertical="center"/>
    </xf>
    <xf numFmtId="0" fontId="7" fillId="0" borderId="23" applyAlignment="1" pivotButton="0" quotePrefix="0" xfId="0">
      <alignment horizontal="left"/>
    </xf>
    <xf numFmtId="0" fontId="8" fillId="0" borderId="24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topLeftCell="A26" zoomScale="99" zoomScaleNormal="99" workbookViewId="0">
      <selection activeCell="B24" sqref="B24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35" t="inlineStr">
        <is>
          <t>Jobuss Resources Pvt Ltd.</t>
        </is>
      </c>
      <c r="B2" s="7" t="n"/>
      <c r="C2" s="7" t="n"/>
      <c r="D2" s="7" t="n"/>
      <c r="E2" s="7" t="n"/>
      <c r="F2" s="38" t="n"/>
      <c r="G2" s="7" t="n"/>
      <c r="H2" s="8" t="n"/>
    </row>
    <row r="3" ht="17.4" customHeight="1" thickBot="1">
      <c r="A3" s="83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84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7" t="n"/>
      <c r="C6" s="7" t="n"/>
      <c r="D6" s="7" t="n"/>
      <c r="E6" s="7" t="n"/>
      <c r="F6" s="7" t="n"/>
      <c r="G6" s="7" t="n"/>
      <c r="H6" s="8" t="n"/>
    </row>
    <row r="7" ht="15" customHeight="1" thickTop="1">
      <c r="A7" s="86" t="inlineStr">
        <is>
          <t>Reliance Industries Limited</t>
        </is>
      </c>
      <c r="B7" s="87" t="n"/>
      <c r="C7" s="87" t="n"/>
      <c r="D7" s="87" t="n"/>
      <c r="E7" s="88" t="n"/>
      <c r="F7" s="23" t="inlineStr">
        <is>
          <t xml:space="preserve">Bill No. : </t>
        </is>
      </c>
      <c r="G7" s="24" t="n"/>
      <c r="H7" s="25" t="n"/>
    </row>
    <row r="8">
      <c r="A8" s="89" t="inlineStr">
        <is>
          <t xml:space="preserve"> Reliance Corporate Park, 5 TTC Industrial area,</t>
        </is>
      </c>
      <c r="E8" s="90" t="n"/>
      <c r="F8" s="91" t="inlineStr">
        <is>
          <t>PAN: AAECJ2353C</t>
        </is>
      </c>
      <c r="H8" s="17" t="n"/>
    </row>
    <row r="9">
      <c r="A9" s="92" t="inlineStr">
        <is>
          <t>Thane Belapur Road, Ghansoli,</t>
        </is>
      </c>
      <c r="E9" s="90" t="n"/>
      <c r="F9" s="91" t="inlineStr">
        <is>
          <t>GST No:  27AAECJ2353C1ZX</t>
        </is>
      </c>
      <c r="H9" s="17" t="n"/>
      <c r="I9" s="4" t="n"/>
    </row>
    <row r="10">
      <c r="A10" s="92" t="inlineStr">
        <is>
          <t>Navi Mumbai-400701.</t>
        </is>
      </c>
      <c r="E10" s="90" t="n"/>
      <c r="F10" s="91" t="inlineStr">
        <is>
          <t>PF No.- KDMAL1720777000</t>
        </is>
      </c>
      <c r="H10" s="17" t="n"/>
      <c r="I10" s="4" t="n"/>
    </row>
    <row r="11">
      <c r="A11" s="26" t="inlineStr">
        <is>
          <t xml:space="preserve">GST NO: </t>
        </is>
      </c>
      <c r="B11" s="27" t="inlineStr">
        <is>
          <t>27AAACR5055K1Z7</t>
        </is>
      </c>
      <c r="C11" s="27" t="n"/>
      <c r="D11" s="27" t="n"/>
      <c r="E11" s="28" t="n"/>
      <c r="F11" s="91" t="inlineStr">
        <is>
          <t>ESIC No.- 35000427980001001</t>
        </is>
      </c>
      <c r="H11" s="17" t="n"/>
      <c r="I11" s="4" t="n"/>
    </row>
    <row r="12">
      <c r="A12" s="26" t="inlineStr">
        <is>
          <t xml:space="preserve">PAN:  </t>
        </is>
      </c>
      <c r="B12" s="27" t="inlineStr">
        <is>
          <t xml:space="preserve">AAACR5055K </t>
        </is>
      </c>
      <c r="C12" s="27" t="n"/>
      <c r="D12" s="27" t="n"/>
      <c r="E12" s="28" t="n"/>
      <c r="F12" s="55" t="inlineStr">
        <is>
          <t>Bill Date:</t>
        </is>
      </c>
      <c r="G12" s="56" t="inlineStr">
        <is>
          <t>28-02-2026</t>
        </is>
      </c>
      <c r="H12" s="57" t="n"/>
    </row>
    <row r="13">
      <c r="A13" s="26" t="inlineStr">
        <is>
          <t xml:space="preserve">Kind Attn: </t>
        </is>
      </c>
      <c r="B13" s="27" t="inlineStr">
        <is>
          <t>Mr. Abhishek Sharma</t>
        </is>
      </c>
      <c r="C13" s="27" t="n"/>
      <c r="D13" s="27" t="n"/>
      <c r="E13" s="28" t="n"/>
      <c r="F13" s="55" t="inlineStr">
        <is>
          <t>Due Date:</t>
        </is>
      </c>
      <c r="G13" s="56" t="inlineStr">
        <is>
          <t>03-03-2026</t>
        </is>
      </c>
      <c r="H13" s="57" t="n"/>
    </row>
    <row r="14">
      <c r="A14" s="92" t="inlineStr">
        <is>
          <t>Place of Service: Navi Mumbai</t>
        </is>
      </c>
      <c r="E14" s="90" t="n"/>
      <c r="F14" s="93" t="inlineStr">
        <is>
          <t>SAC Code:  998513 (Contract Staffing)</t>
        </is>
      </c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2" t="n"/>
      <c r="E15" s="90" t="n"/>
      <c r="F15" s="93" t="inlineStr">
        <is>
          <t>Place of Service: Navi Mumbai</t>
        </is>
      </c>
      <c r="H15" s="17" t="n"/>
      <c r="I15" s="5" t="n"/>
      <c r="K15" s="94" t="n"/>
    </row>
    <row r="16" ht="15" customHeight="1" thickBot="1">
      <c r="A16" s="75" t="n"/>
      <c r="B16" s="7" t="n"/>
      <c r="C16" s="7" t="n"/>
      <c r="D16" s="7" t="n"/>
      <c r="E16" s="8" t="n"/>
      <c r="F16" s="75" t="inlineStr">
        <is>
          <t xml:space="preserve">Vendor Code: </t>
        </is>
      </c>
      <c r="G16" s="10" t="n">
        <v>3347687</v>
      </c>
      <c r="H16" s="8" t="n"/>
    </row>
    <row r="17" ht="16.5" customHeight="1">
      <c r="A17" s="95" t="inlineStr">
        <is>
          <t>Contract staffing services for Assistance in Various Department Period: 01 Feb 2026 to 28 Feb 2026</t>
        </is>
      </c>
      <c r="B17" s="96" t="n"/>
      <c r="C17" s="96" t="n"/>
      <c r="D17" s="96" t="n"/>
      <c r="E17" s="96" t="n"/>
      <c r="F17" s="96" t="n"/>
      <c r="G17" s="97" t="n"/>
      <c r="H17" s="98" t="n">
        <v>25750</v>
      </c>
    </row>
    <row r="18">
      <c r="A18" s="12" t="n"/>
      <c r="G18" s="17" t="n"/>
      <c r="H18" s="99" t="n"/>
    </row>
    <row r="19">
      <c r="A19" s="12" t="n"/>
      <c r="G19" s="17" t="n"/>
      <c r="H19" s="99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2" t="n"/>
      <c r="H20" s="100" t="n"/>
    </row>
    <row r="21" ht="18" customHeight="1" thickBot="1">
      <c r="A21" s="73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98" t="n">
        <v>2318</v>
      </c>
    </row>
    <row r="22" ht="15.75" customHeight="1" thickBot="1">
      <c r="A22" s="73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98" t="n">
        <v>2318</v>
      </c>
    </row>
    <row r="23" ht="15" customHeight="1">
      <c r="A23" s="12" t="n"/>
      <c r="H23" s="98" t="n">
        <v>30385</v>
      </c>
    </row>
    <row r="24" ht="16.5" customHeight="1">
      <c r="A24" s="13" t="inlineStr">
        <is>
          <t>Rupees:</t>
        </is>
      </c>
      <c r="B24" s="14" t="inlineStr">
        <is>
          <t>Thirty Thousand, Three Hundred And Eighty-Five Only</t>
        </is>
      </c>
      <c r="H24" s="99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0" t="n"/>
    </row>
    <row r="26" ht="15" customHeight="1" thickTop="1">
      <c r="A26" s="12" t="n"/>
      <c r="H26" s="17" t="n"/>
    </row>
    <row r="27">
      <c r="A27" s="12" t="n"/>
      <c r="H27" s="17" t="n"/>
    </row>
    <row r="28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1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78" t="inlineStr">
        <is>
          <t>Jobuss Resources Pvt. Ltd.</t>
        </is>
      </c>
      <c r="C33" s="17" t="n"/>
      <c r="H33" s="17" t="n"/>
    </row>
    <row r="34">
      <c r="A34" s="12" t="inlineStr">
        <is>
          <t>Bank Name:</t>
        </is>
      </c>
      <c r="B34" s="78" t="inlineStr">
        <is>
          <t>ICICI Bank</t>
        </is>
      </c>
      <c r="C34" s="17" t="n"/>
      <c r="H34" s="17" t="n"/>
    </row>
    <row r="35">
      <c r="A35" s="12" t="inlineStr">
        <is>
          <t>A/c No.:</t>
        </is>
      </c>
      <c r="B35" s="102" t="inlineStr">
        <is>
          <t>120905000960</t>
        </is>
      </c>
      <c r="C35" s="17" t="n"/>
      <c r="H35" s="17" t="n"/>
    </row>
    <row r="36">
      <c r="A36" s="12" t="inlineStr">
        <is>
          <t>IFSC Code:</t>
        </is>
      </c>
      <c r="B36" s="78" t="inlineStr">
        <is>
          <t>ICIC0001209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103" t="inlineStr">
        <is>
          <t>400229195</t>
        </is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6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6" customHeight="1">
      <c r="A53" s="12" t="n"/>
      <c r="G53" s="14" t="inlineStr">
        <is>
          <t xml:space="preserve">            Authorized Signatory</t>
        </is>
      </c>
      <c r="H53" s="17" t="n"/>
    </row>
    <row r="54" ht="15.6" customHeight="1">
      <c r="A54" s="12" t="n"/>
      <c r="G54" s="14" t="n"/>
      <c r="H54" s="17" t="n"/>
    </row>
    <row r="55" ht="15.6" customHeight="1">
      <c r="A55" s="12" t="n"/>
      <c r="G55" s="14" t="n"/>
      <c r="H55" s="17" t="n"/>
    </row>
    <row r="56" ht="15.6" customHeight="1">
      <c r="A56" s="12" t="n"/>
      <c r="G56" s="14" t="n"/>
      <c r="H56" s="17" t="n"/>
    </row>
    <row r="57" ht="15.6" customHeight="1">
      <c r="A57" s="12" t="n"/>
      <c r="G57" s="14" t="n"/>
      <c r="H57" s="17" t="n"/>
    </row>
    <row r="58">
      <c r="A58" s="12" t="n"/>
      <c r="H58" s="17" t="n"/>
    </row>
    <row r="59" ht="15.6" customHeight="1">
      <c r="A59" s="19" t="inlineStr">
        <is>
          <t>●   Early Remittance is Solicited.</t>
        </is>
      </c>
      <c r="B59" s="20" t="n"/>
      <c r="H59" s="17" t="n"/>
    </row>
    <row r="60" ht="15.75" customHeight="1">
      <c r="A60" s="104" t="inlineStr">
        <is>
          <t xml:space="preserve">  ●   GST No  27AAECJ2353C1ZX &amp; SAC Code  998513</t>
        </is>
      </c>
      <c r="H60" s="17" t="n"/>
    </row>
    <row r="61" ht="22.5" customHeight="1">
      <c r="A61" s="12" t="n"/>
      <c r="H61" s="1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A8:E8"/>
    <mergeCell ref="F11:H11"/>
    <mergeCell ref="A4:H4"/>
    <mergeCell ref="F10:H10"/>
    <mergeCell ref="A60:H61"/>
    <mergeCell ref="B33:C33"/>
    <mergeCell ref="A21:G21"/>
    <mergeCell ref="A10:E10"/>
    <mergeCell ref="B36:C36"/>
    <mergeCell ref="F15:H15"/>
    <mergeCell ref="B35:C35"/>
    <mergeCell ref="A9:E9"/>
  </mergeCells>
  <pageMargins left="0" right="0" top="0" bottom="0" header="0" footer="0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5" t="inlineStr">
        <is>
          <t>Kind Attention Person</t>
        </is>
      </c>
      <c r="B1" s="105" t="inlineStr">
        <is>
          <t>Employee Code</t>
        </is>
      </c>
      <c r="C1" s="105" t="inlineStr">
        <is>
          <t>Employee Name</t>
        </is>
      </c>
      <c r="D1" s="105" t="inlineStr">
        <is>
          <t>Billing</t>
        </is>
      </c>
      <c r="E1" s="105" t="inlineStr">
        <is>
          <t>No of days</t>
        </is>
      </c>
      <c r="F1" s="105" t="inlineStr">
        <is>
          <t>Eligible Days</t>
        </is>
      </c>
      <c r="G1" s="105" t="inlineStr">
        <is>
          <t>No of Saturdays</t>
        </is>
      </c>
      <c r="H1" s="105" t="inlineStr">
        <is>
          <t>No of Sundays</t>
        </is>
      </c>
      <c r="I1" s="105" t="inlineStr">
        <is>
          <t>No of Holidays</t>
        </is>
      </c>
      <c r="J1" s="105" t="inlineStr">
        <is>
          <t>Total Present</t>
        </is>
      </c>
      <c r="K1" s="105" t="inlineStr">
        <is>
          <t>Total Working Days</t>
        </is>
      </c>
      <c r="L1" s="105" t="inlineStr">
        <is>
          <t>Absents this Month</t>
        </is>
      </c>
      <c r="M1" s="105" t="inlineStr">
        <is>
          <t>Adjustment of Days</t>
        </is>
      </c>
      <c r="N1" s="105" t="inlineStr">
        <is>
          <t>Total Payable Days</t>
        </is>
      </c>
      <c r="O1" s="105" t="inlineStr">
        <is>
          <t>Total Payable Billing</t>
        </is>
      </c>
      <c r="P1" s="105" t="inlineStr">
        <is>
          <t>Charges</t>
        </is>
      </c>
      <c r="Q1" s="105" t="inlineStr">
        <is>
          <t>Out of Pocket Exp</t>
        </is>
      </c>
      <c r="R1" s="105" t="inlineStr">
        <is>
          <t>Arrears</t>
        </is>
      </c>
      <c r="S1" s="105" t="inlineStr">
        <is>
          <t>Total</t>
        </is>
      </c>
      <c r="T1" s="105" t="inlineStr">
        <is>
          <t>Grand Total</t>
        </is>
      </c>
      <c r="U1" s="105" t="inlineStr">
        <is>
          <t>Remark</t>
        </is>
      </c>
      <c r="V1" s="105" t="inlineStr">
        <is>
          <t>CGST @9%</t>
        </is>
      </c>
      <c r="W1" s="105" t="inlineStr">
        <is>
          <t>SGST @9%</t>
        </is>
      </c>
    </row>
    <row r="2">
      <c r="A2" s="106" t="inlineStr">
        <is>
          <t>Abhishek Sharma</t>
        </is>
      </c>
      <c r="B2" s="106" t="inlineStr">
        <is>
          <t>JB-10267</t>
        </is>
      </c>
      <c r="C2" s="106" t="inlineStr">
        <is>
          <t>PARIMAL DHANRAJ BORADE</t>
        </is>
      </c>
      <c r="D2" s="106" t="n">
        <v>87500</v>
      </c>
      <c r="E2" s="106" t="n">
        <v>28</v>
      </c>
      <c r="F2" s="106" t="n">
        <v>28</v>
      </c>
      <c r="G2" s="106" t="n">
        <v>4</v>
      </c>
      <c r="H2" s="106" t="n">
        <v>4</v>
      </c>
      <c r="I2" s="106" t="n">
        <v>0</v>
      </c>
      <c r="J2" s="106" t="n">
        <v>0</v>
      </c>
      <c r="K2" s="106" t="n">
        <v>8</v>
      </c>
      <c r="L2" s="106" t="n">
        <v>0</v>
      </c>
      <c r="M2" s="106" t="n">
        <v>0</v>
      </c>
      <c r="N2" s="106" t="n">
        <v>8</v>
      </c>
      <c r="O2" s="106" t="n">
        <v>25000</v>
      </c>
      <c r="P2" s="106" t="n">
        <v>750</v>
      </c>
      <c r="Q2" s="106" t="n">
        <v>0</v>
      </c>
      <c r="R2" s="106" t="n">
        <v>0</v>
      </c>
      <c r="S2" s="106" t="n">
        <v>25750</v>
      </c>
      <c r="T2" s="106" t="n">
        <v>30385</v>
      </c>
      <c r="U2" s="106" t="n">
        <v/>
      </c>
      <c r="V2" s="106" t="n">
        <v>2318</v>
      </c>
      <c r="W2" s="106" t="n">
        <v>2318</v>
      </c>
    </row>
    <row r="3">
      <c r="A3" s="107" t="inlineStr">
        <is>
          <t>TOTAL</t>
        </is>
      </c>
      <c r="B3" s="107" t="n"/>
      <c r="C3" s="107" t="n"/>
      <c r="D3" s="107">
        <f>ROUND(SUM(D2:D2), 0)</f>
        <v/>
      </c>
      <c r="E3" s="107">
        <f>ROUND(SUM(E2:E2), 0)</f>
        <v/>
      </c>
      <c r="F3" s="107">
        <f>ROUND(SUM(F2:F2), 0)</f>
        <v/>
      </c>
      <c r="G3" s="107">
        <f>ROUND(SUM(G2:G2), 0)</f>
        <v/>
      </c>
      <c r="H3" s="107">
        <f>ROUND(SUM(H2:H2), 0)</f>
        <v/>
      </c>
      <c r="I3" s="107">
        <f>ROUND(SUM(I2:I2), 0)</f>
        <v/>
      </c>
      <c r="J3" s="107">
        <f>ROUND(SUM(J2:J2), 0)</f>
        <v/>
      </c>
      <c r="K3" s="107">
        <f>ROUND(SUM(K2:K2), 0)</f>
        <v/>
      </c>
      <c r="L3" s="107">
        <f>ROUND(SUM(L2:L2), 0)</f>
        <v/>
      </c>
      <c r="M3" s="107">
        <f>ROUND(SUM(M2:M2), 0)</f>
        <v/>
      </c>
      <c r="N3" s="107">
        <f>ROUND(SUM(N2:N2), 0)</f>
        <v/>
      </c>
      <c r="O3" s="107">
        <f>ROUND(SUM(O2:O2), 0)</f>
        <v/>
      </c>
      <c r="P3" s="107">
        <f>ROUND(SUM(P2:P2), 0)</f>
        <v/>
      </c>
      <c r="Q3" s="107">
        <f>ROUND(SUM(Q2:Q2), 0)</f>
        <v/>
      </c>
      <c r="R3" s="107">
        <f>ROUND(SUM(R2:R2), 0)</f>
        <v/>
      </c>
      <c r="S3" s="107">
        <f>ROUND(SUM(S2:S2), 0)</f>
        <v/>
      </c>
      <c r="T3" s="107">
        <f>ROUND(SUM(S3,V3,W3), 0)</f>
        <v/>
      </c>
      <c r="U3" s="107" t="n"/>
      <c r="V3" s="107">
        <f>CEILING(SUM(V2:V2), 1)</f>
        <v/>
      </c>
      <c r="W3" s="107">
        <f>CEILING(SUM(W2:W2),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2026-02-28T12:36:43Z</dcterms:modified>
  <cp:lastModifiedBy>Kanishk Maheshwari</cp:lastModifiedBy>
  <cp:lastPrinted>2026-02-09T11:42:21Z</cp:lastPrinted>
</cp:coreProperties>
</file>