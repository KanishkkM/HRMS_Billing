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7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2" t="inlineStr">
        <is>
          <t>Jobuss Resources Pvt Ltd.</t>
        </is>
      </c>
      <c r="B2" s="7" t="n"/>
      <c r="C2" s="7" t="n"/>
      <c r="D2" s="7" t="n"/>
      <c r="E2" s="7" t="n"/>
      <c r="F2" s="75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3rd Floor, Unit No. 302, A wing,</t>
        </is>
      </c>
      <c r="B8" s="61" t="n"/>
      <c r="C8" s="61" t="n"/>
      <c r="D8" s="61" t="n"/>
      <c r="E8" s="62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66" t="inlineStr">
        <is>
          <t>Bill Date:</t>
        </is>
      </c>
      <c r="G12" s="67" t="inlineStr">
        <is>
          <t>28-02-2026</t>
        </is>
      </c>
      <c r="H12" s="68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66" t="inlineStr">
        <is>
          <t>Due Date:</t>
        </is>
      </c>
      <c r="G13" s="67" t="inlineStr">
        <is>
          <t>03-03-2026</t>
        </is>
      </c>
      <c r="H13" s="68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57261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5153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5153</v>
      </c>
    </row>
    <row r="23" ht="15" customHeight="1">
      <c r="A23" s="12" t="n"/>
      <c r="H23" s="99" t="n">
        <v>67568</v>
      </c>
    </row>
    <row r="24" ht="16.5" customHeight="1">
      <c r="A24" s="13" t="inlineStr">
        <is>
          <t>Rupees:</t>
        </is>
      </c>
      <c r="B24" s="14" t="inlineStr">
        <is>
          <t>Sixty-Seven Thousand, Five Hundred And Sixty-Eight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6" t="inlineStr">
        <is>
          <t>Kind Attention Person</t>
        </is>
      </c>
      <c r="B1" s="106" t="inlineStr">
        <is>
          <t>Employee Code</t>
        </is>
      </c>
      <c r="C1" s="106" t="inlineStr">
        <is>
          <t>Employee Name</t>
        </is>
      </c>
      <c r="D1" s="106" t="inlineStr">
        <is>
          <t>Billing</t>
        </is>
      </c>
      <c r="E1" s="106" t="inlineStr">
        <is>
          <t>No of days</t>
        </is>
      </c>
      <c r="F1" s="106" t="inlineStr">
        <is>
          <t>Eligible Days</t>
        </is>
      </c>
      <c r="G1" s="106" t="inlineStr">
        <is>
          <t>No of Saturdays</t>
        </is>
      </c>
      <c r="H1" s="106" t="inlineStr">
        <is>
          <t>No of Sundays</t>
        </is>
      </c>
      <c r="I1" s="106" t="inlineStr">
        <is>
          <t>No of Holidays</t>
        </is>
      </c>
      <c r="J1" s="106" t="inlineStr">
        <is>
          <t>Total Present</t>
        </is>
      </c>
      <c r="K1" s="106" t="inlineStr">
        <is>
          <t>Total Working Days</t>
        </is>
      </c>
      <c r="L1" s="106" t="inlineStr">
        <is>
          <t>Absents this Month</t>
        </is>
      </c>
      <c r="M1" s="106" t="inlineStr">
        <is>
          <t>Adjustment of Days</t>
        </is>
      </c>
      <c r="N1" s="106" t="inlineStr">
        <is>
          <t>Total Payable Days</t>
        </is>
      </c>
      <c r="O1" s="106" t="inlineStr">
        <is>
          <t>Total Payable Billing</t>
        </is>
      </c>
      <c r="P1" s="106" t="inlineStr">
        <is>
          <t>Charges</t>
        </is>
      </c>
      <c r="Q1" s="106" t="inlineStr">
        <is>
          <t>Out of Pocket Exp</t>
        </is>
      </c>
      <c r="R1" s="106" t="inlineStr">
        <is>
          <t>Arrears</t>
        </is>
      </c>
      <c r="S1" s="106" t="inlineStr">
        <is>
          <t>Total</t>
        </is>
      </c>
      <c r="T1" s="106" t="inlineStr">
        <is>
          <t>Grand Total</t>
        </is>
      </c>
      <c r="U1" s="106" t="inlineStr">
        <is>
          <t>Remark</t>
        </is>
      </c>
      <c r="V1" s="106" t="inlineStr">
        <is>
          <t>CGST @9%</t>
        </is>
      </c>
      <c r="W1" s="106" t="inlineStr">
        <is>
          <t>SGST @9%</t>
        </is>
      </c>
    </row>
    <row r="2">
      <c r="A2" s="107" t="inlineStr">
        <is>
          <t>Dinesh Maheshwari (ABNJ)</t>
        </is>
      </c>
      <c r="B2" s="107" t="inlineStr">
        <is>
          <t>AB10082</t>
        </is>
      </c>
      <c r="C2" s="107" t="inlineStr">
        <is>
          <t>RUSSEL ROZARIO</t>
        </is>
      </c>
      <c r="D2" s="107" t="n">
        <v>25000</v>
      </c>
      <c r="E2" s="107" t="n">
        <v>28</v>
      </c>
      <c r="F2" s="107" t="n">
        <v>28</v>
      </c>
      <c r="G2" s="107" t="n">
        <v>4</v>
      </c>
      <c r="H2" s="107" t="n">
        <v>4</v>
      </c>
      <c r="I2" s="107" t="n">
        <v>1</v>
      </c>
      <c r="J2" s="107" t="n">
        <v>15.5</v>
      </c>
      <c r="K2" s="107" t="n">
        <v>24.5</v>
      </c>
      <c r="L2" s="107" t="n">
        <v>3.5</v>
      </c>
      <c r="M2" s="107" t="n">
        <v>2</v>
      </c>
      <c r="N2" s="107" t="n">
        <v>26.5</v>
      </c>
      <c r="O2" s="107" t="n">
        <v>23661</v>
      </c>
      <c r="P2" s="107" t="n">
        <v>2500</v>
      </c>
      <c r="Q2" s="107" t="n">
        <v>0</v>
      </c>
      <c r="R2" s="107" t="n">
        <v>0</v>
      </c>
      <c r="S2" s="107" t="n">
        <v>26161</v>
      </c>
      <c r="T2" s="107" t="n">
        <v>30870</v>
      </c>
      <c r="U2" s="107" t="n">
        <v/>
      </c>
      <c r="V2" s="107" t="n">
        <v>2354</v>
      </c>
      <c r="W2" s="107" t="n">
        <v>2354</v>
      </c>
    </row>
    <row r="3">
      <c r="A3" s="107" t="inlineStr">
        <is>
          <t>Dinesh Maheshwari (ABNJ)</t>
        </is>
      </c>
      <c r="B3" s="107" t="inlineStr">
        <is>
          <t>AB10092</t>
        </is>
      </c>
      <c r="C3" s="107" t="inlineStr">
        <is>
          <t>SHRUTI LAXMAN SINGRI</t>
        </is>
      </c>
      <c r="D3" s="107" t="n">
        <v>28600</v>
      </c>
      <c r="E3" s="107" t="n">
        <v>28</v>
      </c>
      <c r="F3" s="107" t="n">
        <v>28</v>
      </c>
      <c r="G3" s="107" t="n">
        <v>4</v>
      </c>
      <c r="H3" s="107" t="n">
        <v>4</v>
      </c>
      <c r="I3" s="107" t="n">
        <v>1</v>
      </c>
      <c r="J3" s="107" t="n">
        <v>19</v>
      </c>
      <c r="K3" s="107" t="n">
        <v>28</v>
      </c>
      <c r="L3" s="107" t="n">
        <v>0</v>
      </c>
      <c r="M3" s="107" t="n">
        <v>0</v>
      </c>
      <c r="N3" s="107" t="n">
        <v>28</v>
      </c>
      <c r="O3" s="107" t="n">
        <v>28600</v>
      </c>
      <c r="P3" s="107" t="n">
        <v>2500</v>
      </c>
      <c r="Q3" s="107" t="n">
        <v>0</v>
      </c>
      <c r="R3" s="107" t="n">
        <v>0</v>
      </c>
      <c r="S3" s="107" t="n">
        <v>31100</v>
      </c>
      <c r="T3" s="107" t="n">
        <v>36698</v>
      </c>
      <c r="U3" s="107" t="n">
        <v/>
      </c>
      <c r="V3" s="107" t="n">
        <v>2799</v>
      </c>
      <c r="W3" s="107" t="n">
        <v>2799</v>
      </c>
    </row>
    <row r="4">
      <c r="A4" s="108" t="inlineStr">
        <is>
          <t>TOTAL</t>
        </is>
      </c>
      <c r="B4" s="108" t="n"/>
      <c r="C4" s="108" t="n"/>
      <c r="D4" s="108">
        <f>ROUND(SUM(D2:D3), 0)</f>
        <v/>
      </c>
      <c r="E4" s="108">
        <f>ROUND(SUM(E2:E3), 0)</f>
        <v/>
      </c>
      <c r="F4" s="108">
        <f>ROUND(SUM(F2:F3), 0)</f>
        <v/>
      </c>
      <c r="G4" s="108">
        <f>ROUND(SUM(G2:G3), 0)</f>
        <v/>
      </c>
      <c r="H4" s="108">
        <f>ROUND(SUM(H2:H3), 0)</f>
        <v/>
      </c>
      <c r="I4" s="108">
        <f>ROUND(SUM(I2:I3), 0)</f>
        <v/>
      </c>
      <c r="J4" s="108">
        <f>ROUND(SUM(J2:J3), 0)</f>
        <v/>
      </c>
      <c r="K4" s="108">
        <f>ROUND(SUM(K2:K3), 0)</f>
        <v/>
      </c>
      <c r="L4" s="108">
        <f>ROUND(SUM(L2:L3), 0)</f>
        <v/>
      </c>
      <c r="M4" s="108">
        <f>ROUND(SUM(M2:M3), 0)</f>
        <v/>
      </c>
      <c r="N4" s="108">
        <f>ROUND(SUM(N2:N3), 0)</f>
        <v/>
      </c>
      <c r="O4" s="108">
        <f>ROUND(SUM(O2:O3), 0)</f>
        <v/>
      </c>
      <c r="P4" s="108">
        <f>ROUND(SUM(P2:P3), 0)</f>
        <v/>
      </c>
      <c r="Q4" s="108">
        <f>ROUND(SUM(Q2:Q3), 0)</f>
        <v/>
      </c>
      <c r="R4" s="108">
        <f>ROUND(SUM(R2:R3), 0)</f>
        <v/>
      </c>
      <c r="S4" s="108">
        <f>ROUND(SUM(S2:S3), 0)</f>
        <v/>
      </c>
      <c r="T4" s="108">
        <f>ROUND(SUM(S4,V4,W4), 0)</f>
        <v/>
      </c>
      <c r="U4" s="108" t="n"/>
      <c r="V4" s="108">
        <f>CEILING(SUM(V2:V3), 1)</f>
        <v/>
      </c>
      <c r="W4" s="108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2026-02-28T12:36:46Z</dcterms:modified>
  <cp:lastModifiedBy>Kanishk Maheshwari</cp:lastModifiedBy>
  <cp:lastPrinted>2026-02-09T11:42:21Z</cp:lastPrinted>
</cp:coreProperties>
</file>