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s.Khushboo Garg Nishi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44</row>
      <rowOff>47625</rowOff>
    </from>
    <to>
      <col>5</col>
      <colOff>817245</colOff>
      <row>51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46739" y="9033782"/>
          <a:ext cx="1352006" cy="132125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85" zoomScaleNormal="85" workbookViewId="0">
      <selection activeCell="F9" sqref="F9:H9"/>
    </sheetView>
  </sheetViews>
  <sheetFormatPr baseColWidth="8" defaultRowHeight="14.4"/>
  <cols>
    <col width="10.6640625" customWidth="1" min="1" max="1"/>
    <col width="10" customWidth="1" min="2" max="2"/>
    <col width="18.6640625" customWidth="1" min="3" max="3"/>
    <col width="10" customWidth="1" min="4" max="4"/>
    <col width="12.5546875" customWidth="1" min="5" max="5"/>
    <col width="12.6640625" bestFit="1" customWidth="1" min="6" max="6"/>
    <col width="25.6640625" customWidth="1" min="7" max="7"/>
    <col width="18.6640625" customWidth="1" min="8" max="8"/>
  </cols>
  <sheetData>
    <row r="1" ht="15" customHeight="1" thickBot="1"/>
    <row r="2" ht="89.25" customHeight="1" thickBot="1">
      <c r="A2" s="73" t="inlineStr">
        <is>
          <t>Jobuss Resources Pvt Ltd.</t>
        </is>
      </c>
      <c r="B2" s="20" t="n"/>
      <c r="C2" s="20" t="n"/>
      <c r="D2" s="20" t="n"/>
      <c r="E2" s="20" t="n"/>
      <c r="F2" s="76" t="n"/>
      <c r="G2" s="20" t="n"/>
      <c r="H2" s="21" t="n"/>
    </row>
    <row r="3" ht="17.4" customHeight="1" thickBot="1">
      <c r="A3" s="89" t="inlineStr">
        <is>
          <t>Private Limited</t>
        </is>
      </c>
      <c r="B3" s="20" t="n"/>
      <c r="C3" s="20" t="n"/>
      <c r="D3" s="20" t="n"/>
      <c r="E3" s="20" t="n"/>
      <c r="F3" s="20" t="n"/>
      <c r="G3" s="20" t="n"/>
      <c r="H3" s="21" t="n"/>
    </row>
    <row r="4" ht="15" customHeight="1" thickBot="1">
      <c r="A4" s="90" t="inlineStr">
        <is>
          <t>Add:- 1106, Sureshwari Techno IT Park, Eskay Resort, Borivali West Mumbai- 400092</t>
        </is>
      </c>
      <c r="B4" s="20" t="n"/>
      <c r="C4" s="20" t="n"/>
      <c r="D4" s="20" t="n"/>
      <c r="E4" s="20" t="n"/>
      <c r="F4" s="20" t="n"/>
      <c r="G4" s="20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1" t="inlineStr">
        <is>
          <t>Original For Recepient</t>
        </is>
      </c>
      <c r="B6" s="20" t="n"/>
      <c r="C6" s="20" t="n"/>
      <c r="D6" s="20" t="n"/>
      <c r="E6" s="20" t="n"/>
      <c r="F6" s="20" t="n"/>
      <c r="G6" s="20" t="n"/>
      <c r="H6" s="21" t="n"/>
    </row>
    <row r="7" ht="15" customHeight="1" thickTop="1">
      <c r="A7" s="92" t="inlineStr">
        <is>
          <t>Reliance Retail Limited</t>
        </is>
      </c>
      <c r="B7" s="93" t="n"/>
      <c r="C7" s="93" t="n"/>
      <c r="D7" s="93" t="n"/>
      <c r="E7" s="94" t="n"/>
      <c r="F7" s="4" t="inlineStr">
        <is>
          <t>Bill No. :</t>
        </is>
      </c>
      <c r="G7" s="5" t="n"/>
      <c r="H7" s="6" t="n"/>
    </row>
    <row r="8">
      <c r="A8" s="95" t="inlineStr">
        <is>
          <t>Reliance Corporate Park,</t>
        </is>
      </c>
      <c r="E8" s="96" t="n"/>
      <c r="F8" s="97" t="inlineStr">
        <is>
          <t>PAN: AAECJ2353C</t>
        </is>
      </c>
      <c r="H8" s="31" t="n"/>
    </row>
    <row r="9">
      <c r="A9" s="95" t="inlineStr">
        <is>
          <t>TTC Industrial Area, Thane Belapur Road, Ghansoli,</t>
        </is>
      </c>
      <c r="E9" s="96" t="n"/>
      <c r="F9" s="97" t="inlineStr">
        <is>
          <t>GST No:  27AAECJ2353C1ZX</t>
        </is>
      </c>
      <c r="H9" s="31" t="n"/>
      <c r="I9" s="10" t="n"/>
    </row>
    <row r="10">
      <c r="A10" s="95" t="inlineStr">
        <is>
          <t>Thane, Navi Mumbai, Maharashtra- 400701</t>
        </is>
      </c>
      <c r="E10" s="96" t="n"/>
      <c r="F10" s="97" t="inlineStr">
        <is>
          <t>PF No.- KDMAL1720777000</t>
        </is>
      </c>
      <c r="H10" s="31" t="n"/>
      <c r="I10" s="10" t="n"/>
    </row>
    <row r="11">
      <c r="A11" s="11" t="inlineStr">
        <is>
          <t xml:space="preserve">GST NO: </t>
        </is>
      </c>
      <c r="B11" s="12" t="inlineStr">
        <is>
          <t>27AABCR1718E2ZO</t>
        </is>
      </c>
      <c r="C11" s="12" t="n"/>
      <c r="D11" s="12" t="n"/>
      <c r="E11" s="13" t="n"/>
      <c r="F11" s="97" t="inlineStr">
        <is>
          <t>ESIC No.- 35000427980001001</t>
        </is>
      </c>
      <c r="H11" s="31" t="n"/>
      <c r="I11" s="10" t="n"/>
    </row>
    <row r="12">
      <c r="A12" s="11" t="inlineStr">
        <is>
          <t xml:space="preserve">PAN: </t>
        </is>
      </c>
      <c r="B12" s="12" t="inlineStr">
        <is>
          <t>AABCR1718E</t>
        </is>
      </c>
      <c r="C12" s="12" t="n"/>
      <c r="D12" s="12" t="n"/>
      <c r="E12" s="13" t="n"/>
      <c r="F12" s="14" t="inlineStr">
        <is>
          <t>Bill Date :</t>
        </is>
      </c>
      <c r="G12" s="98" t="inlineStr">
        <is>
          <t>28-02-2026</t>
        </is>
      </c>
      <c r="H12" s="16" t="n"/>
    </row>
    <row r="13">
      <c r="A13" s="11" t="inlineStr">
        <is>
          <t xml:space="preserve">Kind Attn: </t>
        </is>
      </c>
      <c r="B13" s="12" t="inlineStr">
        <is>
          <t>Ms.Khushboo Garg</t>
        </is>
      </c>
      <c r="C13" s="12" t="n"/>
      <c r="D13" s="12" t="n"/>
      <c r="E13" s="13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5" t="inlineStr">
        <is>
          <t>Work Order No. XS1/ 5500677760</t>
        </is>
      </c>
      <c r="E14" s="96" t="n"/>
      <c r="F14" s="99" t="inlineStr">
        <is>
          <t>SAC Code:  998512  (Contract Staffing Services)</t>
        </is>
      </c>
      <c r="H14" s="31" t="n"/>
    </row>
    <row r="15" ht="15" customHeight="1" thickBot="1">
      <c r="A15" s="95" t="n"/>
      <c r="E15" s="96" t="n"/>
      <c r="F15" s="99" t="inlineStr">
        <is>
          <t>Place of Service: Mumbai</t>
        </is>
      </c>
      <c r="H15" s="31" t="n"/>
      <c r="I15" s="17" t="n"/>
      <c r="K15" s="100" t="n"/>
    </row>
    <row r="16" ht="18.6" customHeight="1" thickBot="1">
      <c r="A16" s="40" t="n"/>
      <c r="B16" s="49" t="n"/>
      <c r="C16" s="20" t="n"/>
      <c r="D16" s="20" t="n"/>
      <c r="E16" s="21" t="n"/>
      <c r="F16" s="41" t="inlineStr">
        <is>
          <t xml:space="preserve">Vendor Code: </t>
        </is>
      </c>
      <c r="G16" s="23" t="n">
        <v>3347687</v>
      </c>
      <c r="H16" s="21" t="n"/>
    </row>
    <row r="17" ht="16.5" customHeight="1">
      <c r="A17" s="101" t="inlineStr">
        <is>
          <t>Contract staffing services for Assistance in Respective Department Period: 01 Feb 2026 to 28 Feb 2026</t>
        </is>
      </c>
      <c r="G17" s="31" t="n"/>
      <c r="H17" s="102" t="n">
        <v>126785</v>
      </c>
    </row>
    <row r="18" ht="4.2" customHeight="1">
      <c r="A18" s="26" t="n"/>
      <c r="G18" s="31" t="n"/>
      <c r="H18" s="103" t="n"/>
    </row>
    <row r="19" hidden="1">
      <c r="A19" s="26" t="n"/>
      <c r="G19" s="31" t="n"/>
      <c r="H19" s="103" t="n"/>
    </row>
    <row r="20" ht="15" customHeight="1" thickBot="1">
      <c r="A20" s="32" t="n"/>
      <c r="B20" s="35" t="n"/>
      <c r="C20" s="35" t="n"/>
      <c r="D20" s="35" t="n"/>
      <c r="E20" s="35" t="n"/>
      <c r="F20" s="35" t="n"/>
      <c r="G20" s="36" t="n"/>
      <c r="H20" s="104" t="n"/>
    </row>
    <row r="21" ht="15.6" customHeight="1">
      <c r="A21" s="59" t="inlineStr">
        <is>
          <t xml:space="preserve"> Add : CGST @ 9%</t>
        </is>
      </c>
      <c r="B21" s="105" t="n"/>
      <c r="C21" s="105" t="n"/>
      <c r="D21" s="105" t="n"/>
      <c r="E21" s="105" t="n"/>
      <c r="F21" s="105" t="n"/>
      <c r="G21" s="106" t="n"/>
      <c r="H21" s="107" t="n">
        <v>11411</v>
      </c>
    </row>
    <row r="22" ht="16.2" customHeight="1" thickBot="1">
      <c r="A22" s="60" t="inlineStr">
        <is>
          <t>Add : SGST @ 9%</t>
        </is>
      </c>
      <c r="B22" s="108" t="n"/>
      <c r="C22" s="108" t="n"/>
      <c r="D22" s="108" t="n"/>
      <c r="E22" s="108" t="n"/>
      <c r="F22" s="108" t="n"/>
      <c r="G22" s="109" t="n"/>
      <c r="H22" s="110" t="n">
        <v>11411</v>
      </c>
    </row>
    <row r="23">
      <c r="A23" s="26" t="n"/>
      <c r="H23" s="111" t="n">
        <v>149607</v>
      </c>
    </row>
    <row r="24" ht="15.6" customHeight="1">
      <c r="A24" s="27" t="inlineStr">
        <is>
          <t>Rupees:</t>
        </is>
      </c>
      <c r="B24" s="28" t="inlineStr">
        <is>
          <t>One Lakh, Forty-Nine Thousand, Six Hundred And Seven Only</t>
        </is>
      </c>
      <c r="H24" s="103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0" t="n"/>
      <c r="H25" s="112" t="n"/>
    </row>
    <row r="26" ht="15" customHeight="1" thickTop="1">
      <c r="A26" s="26" t="n"/>
      <c r="H26" s="31" t="n"/>
    </row>
    <row r="27">
      <c r="A27" s="26" t="n"/>
      <c r="H27" s="31" t="n"/>
    </row>
    <row r="28">
      <c r="A28" s="26" t="n"/>
      <c r="H28" s="31" t="n"/>
    </row>
    <row r="29">
      <c r="A29" s="26" t="n"/>
      <c r="H29" s="31" t="n"/>
    </row>
    <row r="30">
      <c r="A30" s="26" t="n"/>
      <c r="H30" s="31" t="n"/>
    </row>
    <row r="31" ht="15" customHeight="1" thickBot="1">
      <c r="A31" s="26" t="n"/>
      <c r="H31" s="31" t="n"/>
    </row>
    <row r="32" ht="15" customHeight="1" thickBot="1">
      <c r="A32" s="113" t="inlineStr">
        <is>
          <t>Bank Details:</t>
        </is>
      </c>
      <c r="B32" s="20" t="n"/>
      <c r="C32" s="21" t="n"/>
      <c r="H32" s="31" t="n"/>
    </row>
    <row r="33">
      <c r="A33" s="26" t="inlineStr">
        <is>
          <t>Name:</t>
        </is>
      </c>
      <c r="B33" s="44" t="inlineStr">
        <is>
          <t>Jobuss Resources Pvt. Ltd.</t>
        </is>
      </c>
      <c r="C33" s="31" t="n"/>
      <c r="H33" s="31" t="n"/>
    </row>
    <row r="34">
      <c r="A34" s="26" t="inlineStr">
        <is>
          <t>Bank Name:</t>
        </is>
      </c>
      <c r="B34" s="44" t="inlineStr">
        <is>
          <t>ICICI Bank</t>
        </is>
      </c>
      <c r="C34" s="31" t="n"/>
      <c r="H34" s="31" t="n"/>
    </row>
    <row r="35">
      <c r="A35" s="26" t="inlineStr">
        <is>
          <t>A/c No.:</t>
        </is>
      </c>
      <c r="B35" s="114" t="inlineStr">
        <is>
          <t>120905000960</t>
        </is>
      </c>
      <c r="C35" s="31" t="n"/>
      <c r="H35" s="31" t="n"/>
    </row>
    <row r="36">
      <c r="A36" s="26" t="inlineStr">
        <is>
          <t>IFSC Code:</t>
        </is>
      </c>
      <c r="B36" s="44" t="inlineStr">
        <is>
          <t>ICIC0001209</t>
        </is>
      </c>
      <c r="C36" s="31" t="n"/>
      <c r="H36" s="31" t="n"/>
    </row>
    <row r="37" ht="15" customHeight="1" thickBot="1">
      <c r="A37" s="32" t="inlineStr">
        <is>
          <t>MICR No:</t>
        </is>
      </c>
      <c r="B37" s="115" t="inlineStr">
        <is>
          <t>400229195</t>
        </is>
      </c>
      <c r="C37" s="36" t="n"/>
      <c r="H37" s="31" t="n"/>
    </row>
    <row r="38">
      <c r="A38" s="26" t="n"/>
      <c r="H38" s="31" t="n"/>
    </row>
    <row r="39">
      <c r="A39" s="26" t="n"/>
      <c r="H39" s="31" t="n"/>
    </row>
    <row r="40">
      <c r="A40" s="26" t="n"/>
      <c r="H40" s="31" t="n"/>
    </row>
    <row r="41">
      <c r="A41" s="26" t="n"/>
      <c r="H41" s="31" t="n"/>
    </row>
    <row r="42">
      <c r="A42" s="26" t="n"/>
      <c r="H42" s="31" t="n"/>
    </row>
    <row r="43">
      <c r="A43" s="26" t="n"/>
      <c r="H43" s="31" t="n"/>
    </row>
    <row r="44">
      <c r="A44" s="26" t="n"/>
      <c r="H44" s="31" t="n"/>
    </row>
    <row r="45" ht="15.6" customHeight="1">
      <c r="A45" s="26" t="n"/>
      <c r="G45" s="28" t="inlineStr">
        <is>
          <t xml:space="preserve">    For Jobuss Resources Pvt. Ltd.</t>
        </is>
      </c>
      <c r="H45" s="31" t="n"/>
    </row>
    <row r="46">
      <c r="A46" s="26" t="n"/>
      <c r="H46" s="31" t="n"/>
    </row>
    <row r="47">
      <c r="A47" s="26" t="n"/>
      <c r="H47" s="31" t="n"/>
    </row>
    <row r="48">
      <c r="A48" s="26" t="n"/>
      <c r="H48" s="31" t="n"/>
    </row>
    <row r="49">
      <c r="A49" s="26" t="n"/>
      <c r="H49" s="31" t="n"/>
    </row>
    <row r="50">
      <c r="A50" s="26" t="n"/>
      <c r="H50" s="31" t="n"/>
    </row>
    <row r="51">
      <c r="A51" s="26" t="n"/>
      <c r="H51" s="31" t="n"/>
    </row>
    <row r="52">
      <c r="A52" s="26" t="n"/>
      <c r="H52" s="31" t="n"/>
    </row>
    <row r="53" ht="15.6" customHeight="1">
      <c r="A53" s="26" t="n"/>
      <c r="G53" s="28" t="inlineStr">
        <is>
          <t xml:space="preserve">            Authorized Signatory</t>
        </is>
      </c>
      <c r="H53" s="31" t="n"/>
    </row>
    <row r="54" ht="15.6" customHeight="1">
      <c r="A54" s="26" t="n"/>
      <c r="G54" s="28" t="n"/>
      <c r="H54" s="31" t="n"/>
    </row>
    <row r="55" ht="15.6" customHeight="1">
      <c r="A55" s="26" t="n"/>
      <c r="G55" s="28" t="n"/>
      <c r="H55" s="31" t="n"/>
    </row>
    <row r="56" ht="15.6" customHeight="1">
      <c r="A56" s="26" t="n"/>
      <c r="G56" s="28" t="n"/>
      <c r="H56" s="31" t="n"/>
    </row>
    <row r="57" ht="15.6" customHeight="1">
      <c r="A57" s="26" t="n"/>
      <c r="G57" s="28" t="n"/>
      <c r="H57" s="31" t="n"/>
    </row>
    <row r="58">
      <c r="A58" s="26" t="n"/>
      <c r="H58" s="31" t="n"/>
    </row>
    <row r="59" ht="15.6" customHeight="1">
      <c r="A59" s="33" t="inlineStr">
        <is>
          <t>●   Early Remittance is Solicited.</t>
        </is>
      </c>
      <c r="B59" s="34" t="n"/>
      <c r="H59" s="31" t="n"/>
    </row>
    <row r="60" ht="15.75" customHeight="1">
      <c r="A60" s="116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31" t="n"/>
    </row>
    <row r="61" ht="22.5" customHeight="1">
      <c r="A61" s="26" t="n"/>
      <c r="H61" s="31" t="n"/>
    </row>
    <row r="62" ht="15" customHeight="1" thickBot="1">
      <c r="A62" s="32" t="n"/>
      <c r="B62" s="35" t="n"/>
      <c r="C62" s="35" t="n"/>
      <c r="D62" s="35" t="n"/>
      <c r="E62" s="35" t="n"/>
      <c r="F62" s="35" t="n"/>
      <c r="G62" s="35" t="n"/>
      <c r="H62" s="36" t="n"/>
    </row>
  </sheetData>
  <mergeCells count="30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</row>
    <row r="2">
      <c r="A2" s="118" t="inlineStr">
        <is>
          <t>Vishal Talreja</t>
        </is>
      </c>
      <c r="B2" s="118" t="inlineStr">
        <is>
          <t>JB-10226</t>
        </is>
      </c>
      <c r="C2" s="118" t="inlineStr">
        <is>
          <t>NISHIBEN VIPULKUMAR JAYSWAL</t>
        </is>
      </c>
      <c r="D2" s="118" t="n">
        <v>108333</v>
      </c>
      <c r="E2" s="118" t="n">
        <v>28</v>
      </c>
      <c r="F2" s="118" t="n">
        <v>28</v>
      </c>
      <c r="G2" s="118" t="n">
        <v>4</v>
      </c>
      <c r="H2" s="118" t="n">
        <v>4</v>
      </c>
      <c r="I2" s="118" t="n">
        <v>2</v>
      </c>
      <c r="J2" s="118" t="n">
        <v>18</v>
      </c>
      <c r="K2" s="118" t="n">
        <v>28</v>
      </c>
      <c r="L2" s="118" t="n">
        <v>2</v>
      </c>
      <c r="M2" s="118" t="n">
        <v>2</v>
      </c>
      <c r="N2" s="118" t="n">
        <v>30</v>
      </c>
      <c r="O2" s="118" t="n">
        <v>116071</v>
      </c>
      <c r="P2" s="118" t="n">
        <v>10714</v>
      </c>
      <c r="Q2" s="118" t="n">
        <v>0</v>
      </c>
      <c r="R2" s="118" t="n">
        <v>0</v>
      </c>
      <c r="S2" s="118" t="n">
        <v>126785</v>
      </c>
      <c r="T2" s="118" t="n">
        <v>149607</v>
      </c>
      <c r="U2" s="118" t="n">
        <v/>
      </c>
      <c r="V2" s="118" t="n">
        <v>11411</v>
      </c>
      <c r="W2" s="118" t="n">
        <v>11411</v>
      </c>
    </row>
    <row r="3">
      <c r="A3" s="119" t="inlineStr">
        <is>
          <t>TOTAL</t>
        </is>
      </c>
      <c r="B3" s="119" t="n"/>
      <c r="C3" s="119" t="n"/>
      <c r="D3" s="119">
        <f>ROUND(SUM(D2:D2), 0)</f>
        <v/>
      </c>
      <c r="E3" s="119">
        <f>ROUND(SUM(E2:E2), 0)</f>
        <v/>
      </c>
      <c r="F3" s="119">
        <f>ROUND(SUM(F2:F2), 0)</f>
        <v/>
      </c>
      <c r="G3" s="119">
        <f>ROUND(SUM(G2:G2), 0)</f>
        <v/>
      </c>
      <c r="H3" s="119">
        <f>ROUND(SUM(H2:H2), 0)</f>
        <v/>
      </c>
      <c r="I3" s="119">
        <f>ROUND(SUM(I2:I2), 0)</f>
        <v/>
      </c>
      <c r="J3" s="119">
        <f>ROUND(SUM(J2:J2), 0)</f>
        <v/>
      </c>
      <c r="K3" s="119">
        <f>ROUND(SUM(K2:K2), 0)</f>
        <v/>
      </c>
      <c r="L3" s="119">
        <f>ROUND(SUM(L2:L2), 0)</f>
        <v/>
      </c>
      <c r="M3" s="119">
        <f>ROUND(SUM(M2:M2), 0)</f>
        <v/>
      </c>
      <c r="N3" s="119">
        <f>ROUND(SUM(N2:N2), 0)</f>
        <v/>
      </c>
      <c r="O3" s="119">
        <f>ROUND(SUM(O2:O2), 0)</f>
        <v/>
      </c>
      <c r="P3" s="119">
        <f>ROUND(SUM(P2:P2), 0)</f>
        <v/>
      </c>
      <c r="Q3" s="119">
        <f>ROUND(SUM(Q2:Q2), 0)</f>
        <v/>
      </c>
      <c r="R3" s="119">
        <f>ROUND(SUM(R2:R2), 0)</f>
        <v/>
      </c>
      <c r="S3" s="119">
        <f>ROUND(SUM(S2:S2), 0)</f>
        <v/>
      </c>
      <c r="T3" s="119">
        <f>ROUND(SUM(S3,V3,W3), 0)</f>
        <v/>
      </c>
      <c r="U3" s="119" t="n"/>
      <c r="V3" s="119">
        <f>CEILING(SUM(V2:V2), 1)</f>
        <v/>
      </c>
      <c r="W3" s="119">
        <f>CEILING(SUM(W2:W2),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2026-02-04T08:09:08Z</dcterms:created>
  <dcterms:modified xsi:type="dcterms:W3CDTF">2026-02-28T12:36:49Z</dcterms:modified>
  <cp:lastModifiedBy>Kanishk Maheshwari</cp:lastModifiedBy>
  <cp:lastPrinted>2026-02-04T08:09:18Z</cp:lastPrinted>
</cp:coreProperties>
</file>