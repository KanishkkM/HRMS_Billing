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Sameer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301843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9" zoomScale="95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27-02-2026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02-03-2026</t>
        </is>
      </c>
      <c r="H13" s="66" t="n"/>
    </row>
    <row r="14">
      <c r="A14" s="95" t="inlineStr">
        <is>
          <t>Work Order No. XS1/ 5500671391</t>
        </is>
      </c>
      <c r="E14" s="96" t="n"/>
      <c r="F14" s="99" t="inlineStr">
        <is>
          <t>SAC Code:  998512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51785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4661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4661</v>
      </c>
    </row>
    <row r="23">
      <c r="A23" s="26" t="n"/>
      <c r="H23" s="111" t="n">
        <v>61107</v>
      </c>
    </row>
    <row r="24" ht="15.6" customHeight="1">
      <c r="A24" s="27" t="inlineStr">
        <is>
          <t>Rupees:</t>
        </is>
      </c>
      <c r="B24" s="28" t="inlineStr">
        <is>
          <t>Sixty-One Thousand, One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Khushboo Garge</t>
        </is>
      </c>
      <c r="B2" s="118" t="inlineStr">
        <is>
          <t>Reliance Retail Ltd</t>
        </is>
      </c>
      <c r="C2" s="118" t="inlineStr">
        <is>
          <t>JB-10221</t>
        </is>
      </c>
      <c r="D2" s="118" t="inlineStr">
        <is>
          <t>MYLAVARAPU SAMEER BHANU PRASAD</t>
        </is>
      </c>
      <c r="E2" s="118" t="n">
        <v>43333</v>
      </c>
      <c r="F2" s="118" t="n">
        <v>28</v>
      </c>
      <c r="G2" s="118" t="n">
        <v>28</v>
      </c>
      <c r="H2" s="118" t="n">
        <v>4</v>
      </c>
      <c r="I2" s="118" t="n">
        <v>4</v>
      </c>
      <c r="J2" s="118" t="n">
        <v>2</v>
      </c>
      <c r="K2" s="118" t="n">
        <v>20</v>
      </c>
      <c r="L2" s="118" t="n">
        <v>30</v>
      </c>
      <c r="M2" s="118" t="n">
        <v>0</v>
      </c>
      <c r="N2" s="118" t="n">
        <v>0</v>
      </c>
      <c r="O2" s="118" t="n">
        <v>30</v>
      </c>
      <c r="P2" s="118" t="n">
        <v>46428.21</v>
      </c>
      <c r="Q2" s="118" t="n">
        <v>5357.14</v>
      </c>
      <c r="R2" s="118" t="n">
        <v>0</v>
      </c>
      <c r="S2" s="118" t="n">
        <v>0</v>
      </c>
      <c r="T2" s="118" t="n">
        <v>51785.36</v>
      </c>
      <c r="U2" s="118" t="n">
        <v>4660.68</v>
      </c>
      <c r="V2" s="118" t="n">
        <v>4660.68</v>
      </c>
      <c r="W2" s="118" t="n">
        <v>0</v>
      </c>
      <c r="X2" s="118" t="n">
        <v>61106.72</v>
      </c>
      <c r="Y2" s="118" t="n">
        <v/>
      </c>
    </row>
    <row r="3">
      <c r="A3" s="119" t="inlineStr">
        <is>
          <t>TOTAL</t>
        </is>
      </c>
      <c r="B3" s="119" t="n"/>
      <c r="C3" s="119" t="n"/>
      <c r="D3" s="119" t="n"/>
      <c r="E3" s="119">
        <f>ROUND(SUM(E2:E2), 0)</f>
        <v/>
      </c>
      <c r="F3" s="119">
        <f>ROUND(SUM(F2:F2), 0)</f>
        <v/>
      </c>
      <c r="G3" s="119">
        <f>ROUND(SUM(G2:G2), 0)</f>
        <v/>
      </c>
      <c r="H3" s="119">
        <f>ROUND(SUM(H2:H2), 0)</f>
        <v/>
      </c>
      <c r="I3" s="119">
        <f>ROUND(SUM(I2:I2), 0)</f>
        <v/>
      </c>
      <c r="J3" s="119">
        <f>ROUND(SUM(J2:J2), 0)</f>
        <v/>
      </c>
      <c r="K3" s="119">
        <f>ROUND(SUM(K2:K2), 0)</f>
        <v/>
      </c>
      <c r="L3" s="119">
        <f>ROUND(SUM(L2:L2), 0)</f>
        <v/>
      </c>
      <c r="M3" s="119">
        <f>ROUND(SUM(M2:M2), 0)</f>
        <v/>
      </c>
      <c r="N3" s="119">
        <f>ROUND(SUM(N2:N2), 0)</f>
        <v/>
      </c>
      <c r="O3" s="119">
        <f>ROUND(SUM(O2:O2), 0)</f>
        <v/>
      </c>
      <c r="P3" s="119">
        <f>ROUND(SUM(P2:P2), 0)</f>
        <v/>
      </c>
      <c r="Q3" s="119">
        <f>ROUND(SUM(Q2:Q2), 0)</f>
        <v/>
      </c>
      <c r="R3" s="119">
        <f>ROUND(SUM(R2:R2), 0)</f>
        <v/>
      </c>
      <c r="S3" s="119">
        <f>ROUND(SUM(S2:S2), 0)</f>
        <v/>
      </c>
      <c r="T3" s="119">
        <f>ROUND(SUM(T2:T2), 0)</f>
        <v/>
      </c>
      <c r="U3" s="119">
        <f>CEILING(SUM(U2:U2), 1)</f>
        <v/>
      </c>
      <c r="V3" s="119">
        <f>CEILING(SUM(V2:V2), 1)</f>
        <v/>
      </c>
      <c r="W3" s="119">
        <f>ROUND(SUM(W2:W2), 0)</f>
        <v/>
      </c>
      <c r="X3" s="119">
        <f>ROUND(SUM(T3,U3,V3,W3), 0)</f>
        <v/>
      </c>
      <c r="Y3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2026-02-04T08:13:46Z</dcterms:created>
  <dcterms:modified xsi:type="dcterms:W3CDTF">2026-02-27T06:52:25Z</dcterms:modified>
  <cp:lastModifiedBy>Kanishk Maheshwari</cp:lastModifiedBy>
  <cp:lastPrinted>2026-02-04T08:17:00Z</cp:lastPrinted>
</cp:coreProperties>
</file>