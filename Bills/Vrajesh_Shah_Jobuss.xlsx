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6" zoomScale="104" zoomScaleNormal="9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27-02-2026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Mr.Vrajesh Shah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556571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50091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50091</v>
      </c>
    </row>
    <row r="23" ht="15" customHeight="1">
      <c r="A23" s="17" t="n"/>
      <c r="H23" s="98" t="n">
        <v>656753</v>
      </c>
    </row>
    <row r="24" ht="16.5" customHeight="1">
      <c r="A24" s="18" t="inlineStr">
        <is>
          <t>Rupees:</t>
        </is>
      </c>
      <c r="B24" s="19" t="inlineStr">
        <is>
          <t>Six Lakh, Fifty-Six Thousand, Seven Hundred And Fifty-Three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Vrajesh Shah</t>
        </is>
      </c>
      <c r="B2" s="106" t="inlineStr">
        <is>
          <t>Reliance Industries Ltd</t>
        </is>
      </c>
      <c r="C2" s="106" t="inlineStr">
        <is>
          <t>JB-10152</t>
        </is>
      </c>
      <c r="D2" s="106" t="inlineStr">
        <is>
          <t>POOJA VASANT KHOPADE</t>
        </is>
      </c>
      <c r="E2" s="106" t="n">
        <v>85804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2</v>
      </c>
      <c r="K2" s="106" t="n">
        <v>20</v>
      </c>
      <c r="L2" s="106" t="n">
        <v>30</v>
      </c>
      <c r="M2" s="106" t="n">
        <v>0</v>
      </c>
      <c r="N2" s="106" t="n">
        <v>0</v>
      </c>
      <c r="O2" s="106" t="n">
        <v>30</v>
      </c>
      <c r="P2" s="106" t="n">
        <v>91932.86</v>
      </c>
      <c r="Q2" s="106" t="n">
        <v>10714.29</v>
      </c>
      <c r="R2" s="106" t="n">
        <v>0</v>
      </c>
      <c r="S2" s="106" t="n">
        <v>0</v>
      </c>
      <c r="T2" s="106" t="n">
        <v>102647.14</v>
      </c>
      <c r="U2" s="106" t="n">
        <v>9238.24</v>
      </c>
      <c r="V2" s="106" t="n">
        <v>9238.24</v>
      </c>
      <c r="W2" s="106" t="n">
        <v>0</v>
      </c>
      <c r="X2" s="106" t="n">
        <v>121123.63</v>
      </c>
      <c r="Y2" s="106" t="n">
        <v/>
      </c>
    </row>
    <row r="3">
      <c r="A3" s="106" t="inlineStr">
        <is>
          <t>Vrajesh Shah</t>
        </is>
      </c>
      <c r="B3" s="106" t="inlineStr">
        <is>
          <t>Reliance Industries Ltd</t>
        </is>
      </c>
      <c r="C3" s="106" t="inlineStr">
        <is>
          <t>JB-10246</t>
        </is>
      </c>
      <c r="D3" s="106" t="inlineStr">
        <is>
          <t>IRSHA RAMESH SHINDE</t>
        </is>
      </c>
      <c r="E3" s="106" t="n">
        <v>108333</v>
      </c>
      <c r="F3" s="106" t="n">
        <v>28</v>
      </c>
      <c r="G3" s="106" t="n">
        <v>28</v>
      </c>
      <c r="H3" s="106" t="n">
        <v>4</v>
      </c>
      <c r="I3" s="106" t="n">
        <v>4</v>
      </c>
      <c r="J3" s="106" t="n">
        <v>2</v>
      </c>
      <c r="K3" s="106" t="n">
        <v>13</v>
      </c>
      <c r="L3" s="106" t="n">
        <v>23</v>
      </c>
      <c r="M3" s="106" t="n">
        <v>10</v>
      </c>
      <c r="N3" s="106" t="n">
        <v>2</v>
      </c>
      <c r="O3" s="106" t="n">
        <v>25</v>
      </c>
      <c r="P3" s="106" t="n">
        <v>96725.89</v>
      </c>
      <c r="Q3" s="106" t="n">
        <v>8928.57</v>
      </c>
      <c r="R3" s="106" t="n">
        <v>0</v>
      </c>
      <c r="S3" s="106" t="n">
        <v>0</v>
      </c>
      <c r="T3" s="106" t="n">
        <v>105654.46</v>
      </c>
      <c r="U3" s="106" t="n">
        <v>9508.9</v>
      </c>
      <c r="V3" s="106" t="n">
        <v>9508.9</v>
      </c>
      <c r="W3" s="106" t="n">
        <v>0</v>
      </c>
      <c r="X3" s="106" t="n">
        <v>124672.27</v>
      </c>
      <c r="Y3" s="106" t="n">
        <v/>
      </c>
    </row>
    <row r="4">
      <c r="A4" s="106" t="inlineStr">
        <is>
          <t>Vrajesh Shah</t>
        </is>
      </c>
      <c r="B4" s="106" t="inlineStr">
        <is>
          <t>Reliance Industries Ltd</t>
        </is>
      </c>
      <c r="C4" s="106" t="inlineStr">
        <is>
          <t>JB-10135</t>
        </is>
      </c>
      <c r="D4" s="106" t="inlineStr">
        <is>
          <t>SANDHYA SAIKIRAN DASARI</t>
        </is>
      </c>
      <c r="E4" s="106" t="n">
        <v>40000</v>
      </c>
      <c r="F4" s="106" t="n">
        <v>28</v>
      </c>
      <c r="G4" s="106" t="n">
        <v>28</v>
      </c>
      <c r="H4" s="106" t="n">
        <v>4</v>
      </c>
      <c r="I4" s="106" t="n">
        <v>4</v>
      </c>
      <c r="J4" s="106" t="n">
        <v>2</v>
      </c>
      <c r="K4" s="106" t="n">
        <v>20</v>
      </c>
      <c r="L4" s="106" t="n">
        <v>30</v>
      </c>
      <c r="M4" s="106" t="n">
        <v>0</v>
      </c>
      <c r="N4" s="106" t="n">
        <v>0</v>
      </c>
      <c r="O4" s="106" t="n">
        <v>30</v>
      </c>
      <c r="P4" s="106" t="n">
        <v>42857.14</v>
      </c>
      <c r="Q4" s="106" t="n">
        <v>5357.14</v>
      </c>
      <c r="R4" s="106" t="n">
        <v>0</v>
      </c>
      <c r="S4" s="106" t="n">
        <v>0</v>
      </c>
      <c r="T4" s="106" t="n">
        <v>48214.29</v>
      </c>
      <c r="U4" s="106" t="n">
        <v>4339.29</v>
      </c>
      <c r="V4" s="106" t="n">
        <v>4339.29</v>
      </c>
      <c r="W4" s="106" t="n">
        <v>0</v>
      </c>
      <c r="X4" s="106" t="n">
        <v>56892.86</v>
      </c>
      <c r="Y4" s="106" t="n">
        <v/>
      </c>
    </row>
    <row r="5">
      <c r="A5" s="106" t="inlineStr">
        <is>
          <t>Vrajesh Shah</t>
        </is>
      </c>
      <c r="B5" s="106" t="inlineStr">
        <is>
          <t>Reliance Industries Ltd</t>
        </is>
      </c>
      <c r="C5" s="106" t="inlineStr">
        <is>
          <t>JB-10183</t>
        </is>
      </c>
      <c r="D5" s="106" t="inlineStr">
        <is>
          <t>ROOPA RAJESH NAIK</t>
        </is>
      </c>
      <c r="E5" s="106" t="n">
        <v>73800</v>
      </c>
      <c r="F5" s="106" t="n">
        <v>28</v>
      </c>
      <c r="G5" s="106" t="n">
        <v>28</v>
      </c>
      <c r="H5" s="106" t="n">
        <v>4</v>
      </c>
      <c r="I5" s="106" t="n">
        <v>4</v>
      </c>
      <c r="J5" s="106" t="n">
        <v>2</v>
      </c>
      <c r="K5" s="106" t="n">
        <v>17</v>
      </c>
      <c r="L5" s="106" t="n">
        <v>27</v>
      </c>
      <c r="M5" s="106" t="n">
        <v>3</v>
      </c>
      <c r="N5" s="106" t="n">
        <v>2</v>
      </c>
      <c r="O5" s="106" t="n">
        <v>29</v>
      </c>
      <c r="P5" s="106" t="n">
        <v>76435.71000000001</v>
      </c>
      <c r="Q5" s="106" t="n">
        <v>5178.57</v>
      </c>
      <c r="R5" s="106" t="n">
        <v>0</v>
      </c>
      <c r="S5" s="106" t="n">
        <v>0</v>
      </c>
      <c r="T5" s="106" t="n">
        <v>81614.28999999999</v>
      </c>
      <c r="U5" s="106" t="n">
        <v>7345.29</v>
      </c>
      <c r="V5" s="106" t="n">
        <v>7345.29</v>
      </c>
      <c r="W5" s="106" t="n">
        <v>0</v>
      </c>
      <c r="X5" s="106" t="n">
        <v>96304.86</v>
      </c>
      <c r="Y5" s="106" t="n">
        <v/>
      </c>
    </row>
    <row r="6">
      <c r="A6" s="106" t="inlineStr">
        <is>
          <t>Vrajesh Shah</t>
        </is>
      </c>
      <c r="B6" s="106" t="inlineStr">
        <is>
          <t>Reliance Industries Ltd</t>
        </is>
      </c>
      <c r="C6" s="106" t="inlineStr">
        <is>
          <t>JB-10234</t>
        </is>
      </c>
      <c r="D6" s="106" t="inlineStr">
        <is>
          <t>AARTI UPADHYAY</t>
        </is>
      </c>
      <c r="E6" s="106" t="n">
        <v>77100</v>
      </c>
      <c r="F6" s="106" t="n">
        <v>28</v>
      </c>
      <c r="G6" s="106" t="n">
        <v>28</v>
      </c>
      <c r="H6" s="106" t="n">
        <v>4</v>
      </c>
      <c r="I6" s="106" t="n">
        <v>4</v>
      </c>
      <c r="J6" s="106" t="n">
        <v>2</v>
      </c>
      <c r="K6" s="106" t="n">
        <v>20</v>
      </c>
      <c r="L6" s="106" t="n">
        <v>30</v>
      </c>
      <c r="M6" s="106" t="n">
        <v>0</v>
      </c>
      <c r="N6" s="106" t="n">
        <v>0</v>
      </c>
      <c r="O6" s="106" t="n">
        <v>30</v>
      </c>
      <c r="P6" s="106" t="n">
        <v>82607.14</v>
      </c>
      <c r="Q6" s="106" t="n">
        <v>5357.14</v>
      </c>
      <c r="R6" s="106" t="n">
        <v>0</v>
      </c>
      <c r="S6" s="106" t="n">
        <v>0</v>
      </c>
      <c r="T6" s="106" t="n">
        <v>87964.28999999999</v>
      </c>
      <c r="U6" s="106" t="n">
        <v>7916.79</v>
      </c>
      <c r="V6" s="106" t="n">
        <v>7916.79</v>
      </c>
      <c r="W6" s="106" t="n">
        <v>0</v>
      </c>
      <c r="X6" s="106" t="n">
        <v>103797.86</v>
      </c>
      <c r="Y6" s="106" t="n">
        <v/>
      </c>
    </row>
    <row r="7">
      <c r="A7" s="106" t="inlineStr">
        <is>
          <t>Vrajesh Shah</t>
        </is>
      </c>
      <c r="B7" s="106" t="inlineStr">
        <is>
          <t>Reliance Industries Ltd</t>
        </is>
      </c>
      <c r="C7" s="106" t="inlineStr">
        <is>
          <t>JB-10248</t>
        </is>
      </c>
      <c r="D7" s="106" t="inlineStr">
        <is>
          <t>ANKITA SANTOSH MHATRE</t>
        </is>
      </c>
      <c r="E7" s="106" t="n">
        <v>100000</v>
      </c>
      <c r="F7" s="106" t="n">
        <v>28</v>
      </c>
      <c r="G7" s="106" t="n">
        <v>28</v>
      </c>
      <c r="H7" s="106" t="n">
        <v>4</v>
      </c>
      <c r="I7" s="106" t="n">
        <v>4</v>
      </c>
      <c r="J7" s="106" t="n">
        <v>2</v>
      </c>
      <c r="K7" s="106" t="n">
        <v>20</v>
      </c>
      <c r="L7" s="106" t="n">
        <v>30</v>
      </c>
      <c r="M7" s="106" t="n">
        <v>0</v>
      </c>
      <c r="N7" s="106" t="n">
        <v>0</v>
      </c>
      <c r="O7" s="106" t="n">
        <v>30</v>
      </c>
      <c r="P7" s="106" t="n">
        <v>107142.86</v>
      </c>
      <c r="Q7" s="106" t="n">
        <v>10714.29</v>
      </c>
      <c r="R7" s="106" t="n">
        <v>0</v>
      </c>
      <c r="S7" s="106" t="n">
        <v>0</v>
      </c>
      <c r="T7" s="106" t="n">
        <v>117857.14</v>
      </c>
      <c r="U7" s="106" t="n">
        <v>10607.14</v>
      </c>
      <c r="V7" s="106" t="n">
        <v>10607.14</v>
      </c>
      <c r="W7" s="106" t="n">
        <v>0</v>
      </c>
      <c r="X7" s="106" t="n">
        <v>139071.43</v>
      </c>
      <c r="Y7" s="106" t="n">
        <v/>
      </c>
    </row>
    <row r="8">
      <c r="A8" s="106" t="inlineStr">
        <is>
          <t>Vrajesh Shah</t>
        </is>
      </c>
      <c r="B8" s="106" t="inlineStr">
        <is>
          <t>Reliance Industries Ltd</t>
        </is>
      </c>
      <c r="C8" s="106" t="inlineStr">
        <is>
          <t>JB-10278</t>
        </is>
      </c>
      <c r="D8" s="106" t="inlineStr">
        <is>
          <t>RITESH SHARAD PATIL</t>
        </is>
      </c>
      <c r="E8" s="106" t="n">
        <v>83333</v>
      </c>
      <c r="F8" s="106" t="n">
        <v>28</v>
      </c>
      <c r="G8" s="106" t="n">
        <v>13</v>
      </c>
      <c r="H8" s="106" t="n">
        <v>2</v>
      </c>
      <c r="I8" s="106" t="n">
        <v>1</v>
      </c>
      <c r="J8" s="106" t="n">
        <v>0</v>
      </c>
      <c r="K8" s="106" t="n">
        <v>0</v>
      </c>
      <c r="L8" s="106" t="n">
        <v>3</v>
      </c>
      <c r="M8" s="106" t="n">
        <v>0</v>
      </c>
      <c r="N8" s="106" t="n">
        <v>0</v>
      </c>
      <c r="O8" s="106" t="n">
        <v>3</v>
      </c>
      <c r="P8" s="106" t="n">
        <v>8928.540000000001</v>
      </c>
      <c r="Q8" s="106" t="n">
        <v>535.71</v>
      </c>
      <c r="R8" s="106" t="n">
        <v>0</v>
      </c>
      <c r="S8" s="106" t="n">
        <v>0</v>
      </c>
      <c r="T8" s="106" t="n">
        <v>9464.25</v>
      </c>
      <c r="U8" s="106" t="n">
        <v>851.78</v>
      </c>
      <c r="V8" s="106" t="n">
        <v>851.78</v>
      </c>
      <c r="W8" s="106" t="n">
        <v>0</v>
      </c>
      <c r="X8" s="106" t="n">
        <v>11167.81</v>
      </c>
      <c r="Y8" s="106" t="n">
        <v/>
      </c>
    </row>
    <row r="9">
      <c r="A9" s="106" t="inlineStr">
        <is>
          <t>Vrajesh Shah</t>
        </is>
      </c>
      <c r="B9" s="106" t="inlineStr">
        <is>
          <t>Reliance Industries Ltd</t>
        </is>
      </c>
      <c r="C9" s="106" t="n">
        <v/>
      </c>
      <c r="D9" s="106" t="inlineStr">
        <is>
          <t>ANISHKA KHANDELWAL</t>
        </is>
      </c>
      <c r="E9" s="106" t="n">
        <v>83333</v>
      </c>
      <c r="F9" s="106" t="n">
        <v>28</v>
      </c>
      <c r="G9" s="106" t="n">
        <v>6</v>
      </c>
      <c r="H9" s="106" t="n">
        <v>1</v>
      </c>
      <c r="I9" s="106" t="n">
        <v>0</v>
      </c>
      <c r="J9" s="106" t="n">
        <v>0</v>
      </c>
      <c r="K9" s="106" t="n">
        <v>0</v>
      </c>
      <c r="L9" s="106" t="n">
        <v>1</v>
      </c>
      <c r="M9" s="106" t="n">
        <v>0</v>
      </c>
      <c r="N9" s="106" t="n">
        <v>0</v>
      </c>
      <c r="O9" s="106" t="n">
        <v>1</v>
      </c>
      <c r="P9" s="106" t="n">
        <v>2976.18</v>
      </c>
      <c r="Q9" s="106" t="n">
        <v>178.57</v>
      </c>
      <c r="R9" s="106" t="n">
        <v>0</v>
      </c>
      <c r="S9" s="106" t="n">
        <v>0</v>
      </c>
      <c r="T9" s="106" t="n">
        <v>3154.75</v>
      </c>
      <c r="U9" s="106" t="n">
        <v>283.93</v>
      </c>
      <c r="V9" s="106" t="n">
        <v>283.93</v>
      </c>
      <c r="W9" s="106" t="n">
        <v>0</v>
      </c>
      <c r="X9" s="106" t="n">
        <v>3722.6</v>
      </c>
      <c r="Y9" s="106" t="n">
        <v/>
      </c>
    </row>
    <row r="10">
      <c r="A10" s="107" t="inlineStr">
        <is>
          <t>TOTAL</t>
        </is>
      </c>
      <c r="B10" s="107" t="n"/>
      <c r="C10" s="107" t="n"/>
      <c r="D10" s="107" t="n"/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ROUND(SUM(T2:T9), 0)</f>
        <v/>
      </c>
      <c r="U10" s="107">
        <f>CEILING(SUM(U2:U9), 1)</f>
        <v/>
      </c>
      <c r="V10" s="107">
        <f>CEILING(SUM(V2:V9), 1)</f>
        <v/>
      </c>
      <c r="W10" s="107">
        <f>ROUND(SUM(W2:W9), 0)</f>
        <v/>
      </c>
      <c r="X10" s="107">
        <f>ROUND(SUM(T10,U10,V10,W10), 0)</f>
        <v/>
      </c>
      <c r="Y10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2026-02-27T06:52:26Z</dcterms:modified>
  <cp:lastModifiedBy>Kanishk Maheshwari</cp:lastModifiedBy>
  <cp:lastPrinted>2026-02-03T09:44:17Z</cp:lastPrinted>
</cp:coreProperties>
</file>