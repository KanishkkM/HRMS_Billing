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Raman Popli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11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4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8" fillId="0" borderId="1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15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zoomScale="99" zoomScaleNormal="99" workbookViewId="0">
      <selection activeCell="H12" sqref="H12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89.25" customHeight="1" thickBot="1">
      <c r="A2" s="73" t="inlineStr">
        <is>
          <t>Jobuss Resources Pvt Ltd.</t>
        </is>
      </c>
      <c r="B2" s="7" t="n"/>
      <c r="C2" s="7" t="n"/>
      <c r="D2" s="7" t="n"/>
      <c r="E2" s="7" t="n"/>
      <c r="F2" s="76" t="n"/>
      <c r="G2" s="7" t="n"/>
      <c r="H2" s="8" t="n"/>
    </row>
    <row r="3" ht="17.4" customHeight="1" thickBot="1">
      <c r="A3" s="86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7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8" t="n"/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9" t="inlineStr">
        <is>
          <t>Qwik Supply Chain Pvt Ltd.</t>
        </is>
      </c>
      <c r="B7" s="90" t="n"/>
      <c r="C7" s="90" t="n"/>
      <c r="D7" s="90" t="n"/>
      <c r="E7" s="91" t="n"/>
      <c r="F7" s="23" t="inlineStr">
        <is>
          <t xml:space="preserve">Bill No. : </t>
        </is>
      </c>
      <c r="G7" s="24" t="n"/>
      <c r="H7" s="25" t="n"/>
    </row>
    <row r="8" ht="14.4" customHeight="1">
      <c r="A8" s="60" t="inlineStr">
        <is>
          <t>5, TTC Industrial Area, Reliance Corporate Park</t>
        </is>
      </c>
      <c r="B8" s="61" t="n"/>
      <c r="C8" s="61" t="n"/>
      <c r="D8" s="61" t="n"/>
      <c r="E8" s="62" t="n"/>
      <c r="F8" s="92" t="inlineStr">
        <is>
          <t>PAN: AAECJ2353C</t>
        </is>
      </c>
      <c r="H8" s="17" t="n"/>
    </row>
    <row r="9" ht="14.4" customHeight="1">
      <c r="A9" s="93" t="inlineStr">
        <is>
          <t>Thane-Belapur Road, Ghansoli, Navi Mumbai 400701</t>
        </is>
      </c>
      <c r="E9" s="94" t="n"/>
      <c r="F9" s="92" t="inlineStr">
        <is>
          <t>GST No:  27AAECJ2353C1ZX</t>
        </is>
      </c>
      <c r="H9" s="17" t="n"/>
      <c r="I9" s="4" t="n"/>
    </row>
    <row r="10">
      <c r="A10" s="93" t="n"/>
      <c r="E10" s="94" t="n"/>
      <c r="F10" s="92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27AAACF5232A2Z8</t>
        </is>
      </c>
      <c r="C11" s="27" t="n"/>
      <c r="D11" s="27" t="n"/>
      <c r="E11" s="28" t="n"/>
      <c r="F11" s="92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</t>
        </is>
      </c>
      <c r="B12" s="27" t="inlineStr">
        <is>
          <t xml:space="preserve"> AAACF5232A </t>
        </is>
      </c>
      <c r="C12" s="27" t="n"/>
      <c r="D12" s="27" t="n"/>
      <c r="E12" s="28" t="n"/>
      <c r="F12" s="29" t="inlineStr">
        <is>
          <t>Bill Date:</t>
        </is>
      </c>
      <c r="G12" s="67" t="inlineStr">
        <is>
          <t>28-02-2026</t>
        </is>
      </c>
      <c r="H12" s="68" t="n"/>
    </row>
    <row r="13">
      <c r="A13" s="26" t="inlineStr">
        <is>
          <t>Kind Attn:</t>
        </is>
      </c>
      <c r="B13" s="27" t="inlineStr">
        <is>
          <t>Mr. Raman Popli</t>
        </is>
      </c>
      <c r="C13" s="27" t="n"/>
      <c r="D13" s="27" t="n"/>
      <c r="E13" s="28" t="n"/>
      <c r="F13" s="29" t="inlineStr">
        <is>
          <t>Due Date:</t>
        </is>
      </c>
      <c r="G13" s="67" t="inlineStr">
        <is>
          <t>03-03-2026</t>
        </is>
      </c>
      <c r="H13" s="68" t="n"/>
    </row>
    <row r="14" ht="14.4" customHeight="1">
      <c r="A14" s="93" t="n"/>
      <c r="E14" s="94" t="n"/>
      <c r="F14" s="95" t="inlineStr">
        <is>
          <t>SAC Code:  998224 (Contract Staffing Services)</t>
        </is>
      </c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3" t="n"/>
      <c r="E15" s="94" t="n"/>
      <c r="F15" s="96" t="inlineStr">
        <is>
          <t>Place of Service: Navi Mumbai</t>
        </is>
      </c>
      <c r="H15" s="17" t="n"/>
      <c r="I15" s="5" t="n"/>
      <c r="K15" s="97" t="n"/>
    </row>
    <row r="16" ht="15" customHeight="1" thickBot="1">
      <c r="A16" s="52" t="n"/>
      <c r="B16" s="7" t="n"/>
      <c r="C16" s="7" t="n"/>
      <c r="D16" s="7" t="n"/>
      <c r="E16" s="8" t="n"/>
      <c r="F16" s="52" t="n"/>
      <c r="G16" s="10" t="n"/>
      <c r="H16" s="8" t="n"/>
    </row>
    <row r="17" ht="16.5" customHeight="1">
      <c r="A17" s="98" t="inlineStr">
        <is>
          <t>Contract staffing services for Assistance in Various Department Period: 01 Feb 2026 to 28 Feb 2026</t>
        </is>
      </c>
      <c r="B17" s="99" t="n"/>
      <c r="C17" s="99" t="n"/>
      <c r="D17" s="99" t="n"/>
      <c r="E17" s="99" t="n"/>
      <c r="F17" s="99" t="n"/>
      <c r="G17" s="100" t="n"/>
      <c r="H17" s="101" t="n">
        <v>38800</v>
      </c>
    </row>
    <row r="18">
      <c r="A18" s="12" t="n"/>
      <c r="G18" s="17" t="n"/>
      <c r="H18" s="102" t="n"/>
    </row>
    <row r="19">
      <c r="A19" s="12" t="n"/>
      <c r="G19" s="17" t="n"/>
      <c r="H19" s="102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3" t="n"/>
    </row>
    <row r="21" ht="17.5" customHeight="1" thickBot="1">
      <c r="A21" s="50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101" t="n">
        <v>3492</v>
      </c>
    </row>
    <row r="22" ht="15.75" customHeight="1" thickBot="1">
      <c r="A22" s="50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101" t="n">
        <v>3492</v>
      </c>
    </row>
    <row r="23" ht="15" customHeight="1">
      <c r="A23" s="12" t="n"/>
      <c r="H23" s="101" t="n">
        <v>45784</v>
      </c>
    </row>
    <row r="24" ht="16.5" customHeight="1">
      <c r="A24" s="13" t="inlineStr">
        <is>
          <t>Rupees:</t>
        </is>
      </c>
      <c r="B24" s="14" t="inlineStr">
        <is>
          <t>Forty-Five Thousand, Seven Hundred And Eighty-Four Only</t>
        </is>
      </c>
      <c r="H24" s="102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3" t="n"/>
    </row>
    <row r="26" ht="15" customHeight="1" thickTop="1">
      <c r="A26" s="12" t="n"/>
      <c r="H26" s="17" t="n"/>
    </row>
    <row r="27">
      <c r="A27" s="12" t="n"/>
      <c r="H27" s="17" t="n"/>
    </row>
    <row r="28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4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55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55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5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55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6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7" t="inlineStr">
        <is>
          <t xml:space="preserve">  ●   GST No 27AALPP8196K1ZR&amp; SAC Code 998224 Category: Employment Services including personnel search/referral service &amp; Labour Supply Service. Sub Category: Contract Staffing Services.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08" t="inlineStr">
        <is>
          <t>Kind Attention Person</t>
        </is>
      </c>
      <c r="B1" s="108" t="inlineStr">
        <is>
          <t>Working At</t>
        </is>
      </c>
      <c r="C1" s="108" t="inlineStr">
        <is>
          <t>Employee Code</t>
        </is>
      </c>
      <c r="D1" s="108" t="inlineStr">
        <is>
          <t>Employee Name</t>
        </is>
      </c>
      <c r="E1" s="108" t="inlineStr">
        <is>
          <t>Billing</t>
        </is>
      </c>
      <c r="F1" s="108" t="inlineStr">
        <is>
          <t>No of days</t>
        </is>
      </c>
      <c r="G1" s="108" t="inlineStr">
        <is>
          <t>Eligible Days</t>
        </is>
      </c>
      <c r="H1" s="108" t="inlineStr">
        <is>
          <t>No of Saturdays</t>
        </is>
      </c>
      <c r="I1" s="108" t="inlineStr">
        <is>
          <t>No of Sundays</t>
        </is>
      </c>
      <c r="J1" s="108" t="inlineStr">
        <is>
          <t>No of Holidays</t>
        </is>
      </c>
      <c r="K1" s="108" t="inlineStr">
        <is>
          <t>Total Present</t>
        </is>
      </c>
      <c r="L1" s="108" t="inlineStr">
        <is>
          <t>Total Working Days</t>
        </is>
      </c>
      <c r="M1" s="108" t="inlineStr">
        <is>
          <t>Absents this Month</t>
        </is>
      </c>
      <c r="N1" s="108" t="inlineStr">
        <is>
          <t>Adjustment of Days</t>
        </is>
      </c>
      <c r="O1" s="108" t="inlineStr">
        <is>
          <t>Total Payable Days</t>
        </is>
      </c>
      <c r="P1" s="108" t="inlineStr">
        <is>
          <t>Total Payable Billing</t>
        </is>
      </c>
      <c r="Q1" s="108" t="inlineStr">
        <is>
          <t>Charges</t>
        </is>
      </c>
      <c r="R1" s="108" t="inlineStr">
        <is>
          <t>Out of Pocket Exp</t>
        </is>
      </c>
      <c r="S1" s="108" t="inlineStr">
        <is>
          <t>Arrears</t>
        </is>
      </c>
      <c r="T1" s="108" t="inlineStr">
        <is>
          <t>Total</t>
        </is>
      </c>
      <c r="U1" s="108" t="inlineStr">
        <is>
          <t>CGST @9%</t>
        </is>
      </c>
      <c r="V1" s="108" t="inlineStr">
        <is>
          <t>SGST @9%</t>
        </is>
      </c>
      <c r="W1" s="108" t="inlineStr">
        <is>
          <t>IGST @18%</t>
        </is>
      </c>
      <c r="X1" s="108" t="inlineStr">
        <is>
          <t>Grand Total</t>
        </is>
      </c>
      <c r="Y1" s="108" t="inlineStr">
        <is>
          <t>Remark</t>
        </is>
      </c>
    </row>
    <row r="2">
      <c r="A2" s="109" t="inlineStr">
        <is>
          <t>Raman Popli</t>
        </is>
      </c>
      <c r="B2" s="109" t="inlineStr">
        <is>
          <t>Reliance Retail Ltd</t>
        </is>
      </c>
      <c r="C2" s="109" t="inlineStr">
        <is>
          <t>JB-10057</t>
        </is>
      </c>
      <c r="D2" s="109" t="inlineStr">
        <is>
          <t>VIJETA SUMEET NILE</t>
        </is>
      </c>
      <c r="E2" s="109" t="n">
        <v>35280</v>
      </c>
      <c r="F2" s="109" t="n">
        <v>28</v>
      </c>
      <c r="G2" s="109" t="n">
        <v>28</v>
      </c>
      <c r="H2" s="109" t="n">
        <v>4</v>
      </c>
      <c r="I2" s="109" t="n">
        <v>4</v>
      </c>
      <c r="J2" s="109" t="n">
        <v>2</v>
      </c>
      <c r="K2" s="109" t="n">
        <v>20</v>
      </c>
      <c r="L2" s="109" t="n">
        <v>30</v>
      </c>
      <c r="M2" s="109" t="n">
        <v>0</v>
      </c>
      <c r="N2" s="109" t="n">
        <v>0</v>
      </c>
      <c r="O2" s="109" t="n">
        <v>30</v>
      </c>
      <c r="P2" s="109" t="n">
        <v>37800</v>
      </c>
      <c r="Q2" s="109" t="n">
        <v>1000</v>
      </c>
      <c r="R2" s="109" t="n">
        <v>0</v>
      </c>
      <c r="S2" s="109" t="n">
        <v>0</v>
      </c>
      <c r="T2" s="109" t="n">
        <v>38800</v>
      </c>
      <c r="U2" s="109" t="n">
        <v>3492</v>
      </c>
      <c r="V2" s="109" t="n">
        <v>3492</v>
      </c>
      <c r="W2" s="109" t="n">
        <v>0</v>
      </c>
      <c r="X2" s="109" t="n">
        <v>45784</v>
      </c>
      <c r="Y2" s="109" t="n">
        <v/>
      </c>
    </row>
    <row r="3">
      <c r="A3" s="110" t="inlineStr">
        <is>
          <t>TOTAL</t>
        </is>
      </c>
      <c r="B3" s="110" t="n"/>
      <c r="C3" s="110" t="n"/>
      <c r="D3" s="110" t="n"/>
      <c r="E3" s="110">
        <f>ROUND(SUM(E2:E2), 0)</f>
        <v/>
      </c>
      <c r="F3" s="110">
        <f>ROUND(SUM(F2:F2), 0)</f>
        <v/>
      </c>
      <c r="G3" s="110">
        <f>ROUND(SUM(G2:G2), 0)</f>
        <v/>
      </c>
      <c r="H3" s="110">
        <f>ROUND(SUM(H2:H2), 0)</f>
        <v/>
      </c>
      <c r="I3" s="110">
        <f>ROUND(SUM(I2:I2), 0)</f>
        <v/>
      </c>
      <c r="J3" s="110">
        <f>ROUND(SUM(J2:J2), 0)</f>
        <v/>
      </c>
      <c r="K3" s="110">
        <f>ROUND(SUM(K2:K2), 0)</f>
        <v/>
      </c>
      <c r="L3" s="110">
        <f>ROUND(SUM(L2:L2), 0)</f>
        <v/>
      </c>
      <c r="M3" s="110">
        <f>ROUND(SUM(M2:M2), 0)</f>
        <v/>
      </c>
      <c r="N3" s="110">
        <f>ROUND(SUM(N2:N2), 0)</f>
        <v/>
      </c>
      <c r="O3" s="110">
        <f>ROUND(SUM(O2:O2), 0)</f>
        <v/>
      </c>
      <c r="P3" s="110">
        <f>ROUND(SUM(P2:P2), 0)</f>
        <v/>
      </c>
      <c r="Q3" s="110">
        <f>ROUND(SUM(Q2:Q2), 0)</f>
        <v/>
      </c>
      <c r="R3" s="110">
        <f>ROUND(SUM(R2:R2), 0)</f>
        <v/>
      </c>
      <c r="S3" s="110">
        <f>ROUND(SUM(S2:S2), 0)</f>
        <v/>
      </c>
      <c r="T3" s="110">
        <f>ROUND(SUM(T2:T2), 0)</f>
        <v/>
      </c>
      <c r="U3" s="110">
        <f>CEILING(SUM(U2:U2), 1)</f>
        <v/>
      </c>
      <c r="V3" s="110">
        <f>CEILING(SUM(V2:V2), 1)</f>
        <v/>
      </c>
      <c r="W3" s="110">
        <f>ROUND(SUM(W2:W2), 0)</f>
        <v/>
      </c>
      <c r="X3" s="110">
        <f>ROUND(SUM(T3,U3,V3,W3), 0)</f>
        <v/>
      </c>
      <c r="Y3" s="110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2026-02-28T09:08:09Z</dcterms:modified>
  <cp:lastModifiedBy>Kanishk Maheshwari</cp:lastModifiedBy>
  <cp:lastPrinted>2026-02-09T11:42:21Z</cp:lastPrinted>
</cp:coreProperties>
</file>