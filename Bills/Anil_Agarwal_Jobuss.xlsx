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il Agarwal jobuss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\-mm\-yyyy"/>
    <numFmt numFmtId="165" formatCode="_(* #,##0_);_(* \(#,##0\);_(* &quot;-&quot;??_);_(@_)"/>
    <numFmt numFmtId="166" formatCode="_ * #,##0_ ;_ * \-#,##0_ ;_ * &quot;-&quot;??_ ;_ @_ 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31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6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5" pivotButton="0" quotePrefix="0" xfId="0"/>
    <xf numFmtId="0" fontId="10" fillId="0" borderId="0" pivotButton="0" quotePrefix="0" xfId="0"/>
    <xf numFmtId="0" fontId="8" fillId="0" borderId="12" pivotButton="0" quotePrefix="0" xfId="0"/>
    <xf numFmtId="164" fontId="8" fillId="0" borderId="0" applyAlignment="1" pivotButton="0" quotePrefix="0" xfId="0">
      <alignment horizontal="left"/>
    </xf>
    <xf numFmtId="0" fontId="8" fillId="0" borderId="5" pivotButton="0" quotePrefix="0" xfId="0"/>
    <xf numFmtId="0" fontId="2" fillId="0" borderId="0" applyAlignment="1" pivotButton="0" quotePrefix="0" xfId="0">
      <alignment horizontal="left"/>
    </xf>
    <xf numFmtId="0" fontId="2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vertical="center"/>
    </xf>
    <xf numFmtId="165" fontId="1" fillId="0" borderId="0" pivotButton="0" quotePrefix="0" xfId="2"/>
    <xf numFmtId="0" fontId="11" fillId="0" borderId="1" pivotButton="0" quotePrefix="0" xfId="0"/>
    <xf numFmtId="0" fontId="11" fillId="0" borderId="2" pivotButton="0" quotePrefix="0" xfId="0"/>
    <xf numFmtId="0" fontId="11" fillId="0" borderId="3" pivotButton="0" quotePrefix="0" xfId="0"/>
    <xf numFmtId="0" fontId="0" fillId="0" borderId="3" pivotButton="0" quotePrefix="0" xfId="0"/>
    <xf numFmtId="165" fontId="14" fillId="0" borderId="18" applyAlignment="1" pivotButton="0" quotePrefix="0" xfId="2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14" fillId="0" borderId="4" applyAlignment="1" pivotButton="0" quotePrefix="0" xfId="0">
      <alignment horizontal="left" wrapText="1"/>
    </xf>
    <xf numFmtId="0" fontId="14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14" fillId="0" borderId="5" applyAlignment="1" pivotButton="0" quotePrefix="0" xfId="2">
      <alignment horizontal="center" vertical="center"/>
    </xf>
    <xf numFmtId="0" fontId="0" fillId="0" borderId="4" pivotButton="0" quotePrefix="0" xfId="0"/>
    <xf numFmtId="0" fontId="15" fillId="0" borderId="4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8" fillId="0" borderId="7" applyAlignment="1" pivotButton="0" quotePrefix="0" xfId="0">
      <alignment vertical="center"/>
    </xf>
    <xf numFmtId="0" fontId="7" fillId="0" borderId="8" applyAlignment="1" pivotButton="0" quotePrefix="0" xfId="0">
      <alignment horizontal="left"/>
    </xf>
    <xf numFmtId="0" fontId="7" fillId="0" borderId="9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12" fillId="0" borderId="6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11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14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165" fontId="13" fillId="0" borderId="13" applyAlignment="1" pivotButton="0" quotePrefix="0" xfId="2">
      <alignment horizontal="center" vertical="center"/>
    </xf>
    <xf numFmtId="165" fontId="13" fillId="0" borderId="17" applyAlignment="1" pivotButton="0" quotePrefix="0" xfId="2">
      <alignment horizontal="center" vertical="center"/>
    </xf>
    <xf numFmtId="0" fontId="14" fillId="0" borderId="18" applyAlignment="1" pivotButton="0" quotePrefix="0" xfId="0">
      <alignment horizontal="left"/>
    </xf>
    <xf numFmtId="166" fontId="14" fillId="0" borderId="19" applyAlignment="1" pivotButton="0" quotePrefix="0" xfId="1">
      <alignment horizontal="center" vertical="center"/>
    </xf>
    <xf numFmtId="166" fontId="14" fillId="0" borderId="13" applyAlignment="1" pivotButton="0" quotePrefix="0" xfId="1">
      <alignment horizontal="center" vertical="center"/>
    </xf>
    <xf numFmtId="166" fontId="14" fillId="0" borderId="20" applyAlignment="1" pivotButton="0" quotePrefix="0" xfId="1">
      <alignment horizontal="center" vertical="center"/>
    </xf>
    <xf numFmtId="0" fontId="14" fillId="0" borderId="0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0" fontId="15" fillId="0" borderId="4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5" applyAlignment="1" pivotButton="0" quotePrefix="1" xfId="0">
      <alignment horizontal="center"/>
    </xf>
    <xf numFmtId="1" fontId="0" fillId="0" borderId="16" applyAlignment="1" pivotButton="0" quotePrefix="0" xfId="0">
      <alignment horizontal="center"/>
    </xf>
    <xf numFmtId="0" fontId="8" fillId="0" borderId="1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0" fillId="0" borderId="2" pivotButton="0" quotePrefix="0" xfId="0"/>
    <xf numFmtId="0" fontId="5" fillId="2" borderId="21" applyAlignment="1" pivotButton="0" quotePrefix="0" xfId="0">
      <alignment horizontal="right"/>
    </xf>
    <xf numFmtId="0" fontId="6" fillId="0" borderId="21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7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8" fillId="0" borderId="13" applyAlignment="1" pivotButton="0" quotePrefix="0" xfId="0">
      <alignment horizontal="left"/>
    </xf>
    <xf numFmtId="165" fontId="1" fillId="0" borderId="0" pivotButton="0" quotePrefix="0" xfId="2"/>
    <xf numFmtId="0" fontId="12" fillId="0" borderId="21" applyAlignment="1" pivotButton="0" quotePrefix="0" xfId="0">
      <alignment horizontal="left" vertical="center" wrapText="1"/>
    </xf>
    <xf numFmtId="165" fontId="13" fillId="0" borderId="17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7" pivotButton="0" quotePrefix="0" xfId="0"/>
    <xf numFmtId="0" fontId="0" fillId="0" borderId="22" pivotButton="0" quotePrefix="0" xfId="0"/>
    <xf numFmtId="0" fontId="0" fillId="0" borderId="23" pivotButton="0" quotePrefix="0" xfId="0"/>
    <xf numFmtId="165" fontId="14" fillId="0" borderId="18" applyAlignment="1" pivotButton="0" quotePrefix="0" xfId="2">
      <alignment horizontal="center" vertical="center"/>
    </xf>
    <xf numFmtId="166" fontId="14" fillId="0" borderId="24" applyAlignment="1" pivotButton="0" quotePrefix="0" xfId="1">
      <alignment horizontal="center" vertical="center"/>
    </xf>
    <xf numFmtId="0" fontId="0" fillId="0" borderId="20" pivotButton="0" quotePrefix="0" xfId="0"/>
    <xf numFmtId="165" fontId="14" fillId="0" borderId="5" applyAlignment="1" pivotButton="0" quotePrefix="0" xfId="2">
      <alignment horizontal="center" vertical="center"/>
    </xf>
    <xf numFmtId="0" fontId="2" fillId="0" borderId="21" pivotButton="0" quotePrefix="0" xfId="0"/>
    <xf numFmtId="1" fontId="0" fillId="0" borderId="5" applyAlignment="1" pivotButton="0" quotePrefix="1" xfId="0">
      <alignment horizontal="center"/>
    </xf>
    <xf numFmtId="1" fontId="0" fillId="0" borderId="16" applyAlignment="1" pivotButton="0" quotePrefix="1" xfId="0">
      <alignment horizontal="center"/>
    </xf>
    <xf numFmtId="0" fontId="15" fillId="0" borderId="13" applyAlignment="1" pivotButton="0" quotePrefix="0" xfId="0">
      <alignment horizontal="left" vertical="top" wrapText="1"/>
    </xf>
    <xf numFmtId="0" fontId="18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1" fontId="0" fillId="0" borderId="26" pivotButton="0" quotePrefix="0" xfId="0"/>
    <xf numFmtId="0" fontId="18" fillId="4" borderId="26" applyAlignment="1" pivotButton="0" quotePrefix="0" xfId="0">
      <alignment horizontal="center" vertical="center" wrapText="1"/>
    </xf>
    <xf numFmtId="1" fontId="18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394335</colOff>
      <row>44</row>
      <rowOff>106680</rowOff>
    </from>
    <to>
      <col>5</col>
      <colOff>506730</colOff>
      <row>51</row>
      <rowOff>110490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772535" y="9384030"/>
          <a:ext cx="1364615" cy="13055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1000760</colOff>
      <row>46</row>
      <rowOff>130810</rowOff>
    </from>
    <to>
      <col>7</col>
      <colOff>1059815</colOff>
      <row>50</row>
      <rowOff>149860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544310" y="9789160"/>
          <a:ext cx="1670685" cy="7556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394335</colOff>
      <row>44</row>
      <rowOff>106680</rowOff>
    </from>
    <to>
      <col>5</col>
      <colOff>514350</colOff>
      <row>51</row>
      <rowOff>110490</rowOff>
    </to>
    <pic>
      <nvPicPr>
        <cNvPr id="6" name="Picture 5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3716655" y="9364980"/>
          <a:ext cx="1346835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1000760</colOff>
      <row>46</row>
      <rowOff>130810</rowOff>
    </from>
    <to>
      <col>7</col>
      <colOff>1052195</colOff>
      <row>50</row>
      <rowOff>149860</rowOff>
    </to>
    <pic>
      <nvPicPr>
        <cNvPr id="7" name="Picture 6"/>
        <cNvPicPr>
          <a:picLocks noChangeAspect="1"/>
        </cNvPicPr>
      </nvPicPr>
      <blipFill>
        <a:blip r:embed="rId4"/>
        <a:srcRect/>
        <a:stretch>
          <a:fillRect/>
        </a:stretch>
      </blipFill>
      <spPr bwMode="auto">
        <a:xfrm>
          <a:off x="6449060" y="9770110"/>
          <a:ext cx="1636395" cy="75057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394335</colOff>
      <row>44</row>
      <rowOff>106680</rowOff>
    </from>
    <to>
      <col>5</col>
      <colOff>514350</colOff>
      <row>51</row>
      <rowOff>110490</rowOff>
    </to>
    <pic>
      <nvPicPr>
        <cNvPr id="9" name="Picture 8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3716655" y="9364980"/>
          <a:ext cx="1346835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1000760</colOff>
      <row>46</row>
      <rowOff>130810</rowOff>
    </from>
    <to>
      <col>7</col>
      <colOff>1052195</colOff>
      <row>50</row>
      <rowOff>149860</rowOff>
    </to>
    <pic>
      <nvPicPr>
        <cNvPr id="10" name="Picture 9"/>
        <cNvPicPr>
          <a:picLocks noChangeAspect="1"/>
        </cNvPicPr>
      </nvPicPr>
      <blipFill>
        <a:blip r:embed="rId6"/>
        <a:srcRect/>
        <a:stretch>
          <a:fillRect/>
        </a:stretch>
      </blipFill>
      <spPr bwMode="auto">
        <a:xfrm>
          <a:off x="6449060" y="9770110"/>
          <a:ext cx="1636395" cy="75057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394335</colOff>
      <row>44</row>
      <rowOff>106680</rowOff>
    </from>
    <to>
      <col>5</col>
      <colOff>514350</colOff>
      <row>51</row>
      <rowOff>110490</rowOff>
    </to>
    <pic>
      <nvPicPr>
        <cNvPr id="12" name="Picture 11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3716655" y="9364980"/>
          <a:ext cx="1346835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1000760</colOff>
      <row>46</row>
      <rowOff>130810</rowOff>
    </from>
    <to>
      <col>7</col>
      <colOff>1052195</colOff>
      <row>50</row>
      <rowOff>149860</rowOff>
    </to>
    <pic>
      <nvPicPr>
        <cNvPr id="13" name="Picture 12"/>
        <cNvPicPr>
          <a:picLocks noChangeAspect="1"/>
        </cNvPicPr>
      </nvPicPr>
      <blipFill>
        <a:blip r:embed="rId8"/>
        <a:srcRect/>
        <a:stretch>
          <a:fillRect/>
        </a:stretch>
      </blipFill>
      <spPr bwMode="auto">
        <a:xfrm>
          <a:off x="6449060" y="9770110"/>
          <a:ext cx="1636395" cy="75057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394335</colOff>
      <row>44</row>
      <rowOff>106680</rowOff>
    </from>
    <to>
      <col>5</col>
      <colOff>514350</colOff>
      <row>51</row>
      <rowOff>110490</rowOff>
    </to>
    <pic>
      <nvPicPr>
        <cNvPr id="15" name="Picture 14"/>
        <cNvPicPr>
          <a:picLocks noChangeAspect="1" noChangeArrowheads="1"/>
        </cNvPicPr>
      </nvPicPr>
      <blipFill>
        <a:blip r:embed="rId9"/>
        <a:srcRect/>
        <a:stretch>
          <a:fillRect/>
        </a:stretch>
      </blipFill>
      <spPr bwMode="auto">
        <a:xfrm>
          <a:off x="3716655" y="9364980"/>
          <a:ext cx="1346835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1000760</colOff>
      <row>46</row>
      <rowOff>130810</rowOff>
    </from>
    <to>
      <col>7</col>
      <colOff>1052195</colOff>
      <row>50</row>
      <rowOff>149860</rowOff>
    </to>
    <pic>
      <nvPicPr>
        <cNvPr id="16" name="Picture 15"/>
        <cNvPicPr>
          <a:picLocks noChangeAspect="1"/>
        </cNvPicPr>
      </nvPicPr>
      <blipFill>
        <a:blip r:embed="rId10"/>
        <a:srcRect/>
        <a:stretch>
          <a:fillRect/>
        </a:stretch>
      </blipFill>
      <spPr bwMode="auto">
        <a:xfrm>
          <a:off x="6449060" y="9770110"/>
          <a:ext cx="1636395" cy="75057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70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22">
    <outlinePr summaryBelow="1" summaryRight="1"/>
    <pageSetUpPr fitToPage="1"/>
  </sheetPr>
  <dimension ref="A2:K67"/>
  <sheetViews>
    <sheetView tabSelected="1" topLeftCell="A23" zoomScale="70" zoomScaleNormal="70" workbookViewId="0">
      <selection activeCell="B24" sqref="B24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109375" customWidth="1" min="6" max="6"/>
    <col width="23.109375" customWidth="1" min="7" max="7"/>
    <col width="26.88671875" customWidth="1" min="8" max="8"/>
    <col width="10.88671875" bestFit="1" customWidth="1" min="11" max="11"/>
  </cols>
  <sheetData>
    <row r="1" ht="15" customHeight="1" thickBot="1"/>
    <row r="2" ht="89.25" customHeight="1" thickBot="1">
      <c r="A2" s="43" t="inlineStr">
        <is>
          <t>Jobuss Resources Pvt Ltd.</t>
        </is>
      </c>
      <c r="B2" s="100" t="n"/>
      <c r="C2" s="100" t="n"/>
      <c r="D2" s="100" t="n"/>
      <c r="E2" s="100" t="n"/>
      <c r="F2" s="46" t="n"/>
      <c r="G2" s="100" t="n"/>
      <c r="H2" s="25" t="n"/>
    </row>
    <row r="3" ht="17.4" customHeight="1" thickBot="1">
      <c r="A3" s="101" t="inlineStr">
        <is>
          <t>Private Limited</t>
        </is>
      </c>
      <c r="B3" s="100" t="n"/>
      <c r="C3" s="100" t="n"/>
      <c r="D3" s="100" t="n"/>
      <c r="E3" s="100" t="n"/>
      <c r="F3" s="100" t="n"/>
      <c r="G3" s="100" t="n"/>
      <c r="H3" s="25" t="n"/>
    </row>
    <row r="4" ht="15" customHeight="1" thickBot="1">
      <c r="A4" s="102" t="inlineStr">
        <is>
          <t>Add:- -1106, Sureshwari Techno IT Park, Eskay Resort, Borivali West Mumbai- 400092</t>
        </is>
      </c>
      <c r="B4" s="100" t="n"/>
      <c r="C4" s="100" t="n"/>
      <c r="D4" s="100" t="n"/>
      <c r="E4" s="100" t="n"/>
      <c r="F4" s="100" t="n"/>
      <c r="G4" s="100" t="n"/>
      <c r="H4" s="25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103" t="inlineStr">
        <is>
          <t>Original For Recepient</t>
        </is>
      </c>
      <c r="B6" s="100" t="n"/>
      <c r="C6" s="100" t="n"/>
      <c r="D6" s="100" t="n"/>
      <c r="E6" s="100" t="n"/>
      <c r="F6" s="100" t="n"/>
      <c r="G6" s="100" t="n"/>
      <c r="H6" s="25" t="n"/>
    </row>
    <row r="7" ht="15" customHeight="1" thickTop="1">
      <c r="A7" s="104" t="inlineStr">
        <is>
          <t>Reliance Industries Limited</t>
        </is>
      </c>
      <c r="B7" s="105" t="n"/>
      <c r="C7" s="105" t="n"/>
      <c r="D7" s="105" t="n"/>
      <c r="E7" s="106" t="n"/>
      <c r="F7" s="4" t="inlineStr">
        <is>
          <t xml:space="preserve">Bill No. : </t>
        </is>
      </c>
      <c r="G7" s="39" t="n"/>
      <c r="H7" s="5" t="n"/>
    </row>
    <row r="8">
      <c r="A8" s="107" t="inlineStr">
        <is>
          <t>5, TTC Industrial Area,</t>
        </is>
      </c>
      <c r="E8" s="19" t="n"/>
      <c r="F8" s="108" t="inlineStr">
        <is>
          <t>PAN: AAECJ2353C</t>
        </is>
      </c>
      <c r="H8" s="19" t="n"/>
      <c r="I8" t="inlineStr">
        <is>
          <t>     </t>
        </is>
      </c>
    </row>
    <row r="9">
      <c r="A9" s="107" t="inlineStr">
        <is>
          <t>Reliance Corporate Park,</t>
        </is>
      </c>
      <c r="E9" s="19" t="n"/>
      <c r="F9" s="108" t="inlineStr">
        <is>
          <t>GST No:  27AAECJ2353C1ZX</t>
        </is>
      </c>
      <c r="H9" s="19" t="n"/>
      <c r="I9" s="8" t="n"/>
    </row>
    <row r="10">
      <c r="A10" s="107" t="inlineStr">
        <is>
          <t>Thane-Belapur Road, Ghansoli, Navi Mumbai 400701</t>
        </is>
      </c>
      <c r="E10" s="19" t="n"/>
      <c r="F10" s="108" t="inlineStr">
        <is>
          <t>PF No.- KDMAL1720777000</t>
        </is>
      </c>
      <c r="H10" s="19" t="n"/>
      <c r="I10" s="8" t="n"/>
    </row>
    <row r="11">
      <c r="A11" s="9" t="inlineStr">
        <is>
          <t>GST NO:</t>
        </is>
      </c>
      <c r="B11" s="10" t="inlineStr">
        <is>
          <t>27AAACR5055K1Z7</t>
        </is>
      </c>
      <c r="C11" s="11" t="n"/>
      <c r="D11" s="11" t="n"/>
      <c r="E11" s="12" t="n"/>
      <c r="F11" s="108" t="inlineStr">
        <is>
          <t>ESIC No.- 35000427980001001</t>
        </is>
      </c>
      <c r="H11" s="19" t="n"/>
      <c r="I11" s="8" t="n"/>
    </row>
    <row r="12">
      <c r="A12" s="9" t="inlineStr">
        <is>
          <t xml:space="preserve">PAN:  </t>
        </is>
      </c>
      <c r="B12" s="13" t="inlineStr">
        <is>
          <t xml:space="preserve"> AAACR5055K</t>
        </is>
      </c>
      <c r="C12" s="11" t="n"/>
      <c r="D12" s="11" t="n"/>
      <c r="E12" s="12" t="n"/>
      <c r="F12" s="14" t="inlineStr">
        <is>
          <t xml:space="preserve">Bill Date :  </t>
        </is>
      </c>
      <c r="G12" s="109" t="inlineStr">
        <is>
          <t>28-02-2026</t>
        </is>
      </c>
      <c r="H12" s="16" t="n"/>
    </row>
    <row r="13">
      <c r="A13" s="9" t="inlineStr">
        <is>
          <t>Kind Attn:</t>
        </is>
      </c>
      <c r="B13" s="11" t="inlineStr">
        <is>
          <t xml:space="preserve"> Mr. Anil Agarwal</t>
        </is>
      </c>
      <c r="C13" s="11" t="n"/>
      <c r="D13" s="11" t="n"/>
      <c r="E13" s="12" t="n"/>
      <c r="F13" s="97" t="inlineStr">
        <is>
          <t>Due Date:</t>
        </is>
      </c>
      <c r="G13" s="98" t="inlineStr">
        <is>
          <t>03-03-2026</t>
        </is>
      </c>
      <c r="H13" s="99" t="n"/>
    </row>
    <row r="14">
      <c r="A14" s="66" t="inlineStr">
        <is>
          <t>Place of Service: Navi Mumbai</t>
        </is>
      </c>
      <c r="D14" s="58" t="n"/>
      <c r="E14" s="59" t="n"/>
      <c r="F14" s="110" t="inlineStr">
        <is>
          <t>SAC Code:  998513 (Contract Staffing Services)</t>
        </is>
      </c>
      <c r="H14" s="19" t="n"/>
    </row>
    <row r="15" ht="15" customHeight="1" thickBot="1">
      <c r="A15" s="107" t="n"/>
      <c r="E15" s="19" t="n"/>
      <c r="F15" s="18" t="inlineStr">
        <is>
          <t xml:space="preserve">Vendor Code: </t>
        </is>
      </c>
      <c r="G15" s="67" t="n">
        <v>3347687</v>
      </c>
      <c r="H15" s="19" t="n"/>
      <c r="I15" s="20" t="n"/>
      <c r="K15" s="111" t="n"/>
    </row>
    <row r="16" ht="18.6" customHeight="1" thickBot="1">
      <c r="A16" s="22" t="inlineStr">
        <is>
          <t>Work Order :540034732</t>
        </is>
      </c>
      <c r="B16" s="23" t="n"/>
      <c r="C16" s="23" t="n"/>
      <c r="D16" s="23" t="n"/>
      <c r="E16" s="24" t="n"/>
      <c r="F16" s="63" t="n"/>
      <c r="G16" s="100" t="n"/>
      <c r="H16" s="25" t="n"/>
    </row>
    <row r="17" ht="16.5" customHeight="1">
      <c r="A17" s="112" t="inlineStr">
        <is>
          <t>Contract staffing services for Assistance in Various Department Period: 21 Jan 2026 to 20 Feb 2026</t>
        </is>
      </c>
      <c r="B17" s="28" t="n"/>
      <c r="C17" s="28" t="n"/>
      <c r="D17" s="28" t="n"/>
      <c r="E17" s="28" t="n"/>
      <c r="F17" s="28" t="n"/>
      <c r="G17" s="29" t="n"/>
      <c r="H17" s="113" t="n">
        <v>2959950</v>
      </c>
    </row>
    <row r="18">
      <c r="A18" s="36" t="n"/>
      <c r="G18" s="19" t="n"/>
      <c r="H18" s="114" t="n"/>
    </row>
    <row r="19">
      <c r="A19" s="36" t="n"/>
      <c r="G19" s="19" t="n"/>
      <c r="H19" s="114" t="n"/>
    </row>
    <row r="20" ht="15" customHeight="1" thickBot="1">
      <c r="A20" s="32" t="n"/>
      <c r="B20" s="33" t="n"/>
      <c r="C20" s="33" t="n"/>
      <c r="D20" s="33" t="n"/>
      <c r="E20" s="33" t="n"/>
      <c r="F20" s="33" t="n"/>
      <c r="G20" s="34" t="n"/>
      <c r="H20" s="115" t="n"/>
    </row>
    <row r="21" ht="15.6" customHeight="1">
      <c r="A21" s="82" t="inlineStr">
        <is>
          <t>Add : CGST @ 9%</t>
        </is>
      </c>
      <c r="B21" s="116" t="n"/>
      <c r="C21" s="116" t="n"/>
      <c r="D21" s="116" t="n"/>
      <c r="E21" s="116" t="n"/>
      <c r="F21" s="116" t="n"/>
      <c r="G21" s="117" t="n"/>
      <c r="H21" s="118" t="n">
        <v>266396</v>
      </c>
    </row>
    <row r="22" ht="16.2" customHeight="1" thickBot="1">
      <c r="A22" s="82" t="inlineStr">
        <is>
          <t>Add : SGST @ 9%</t>
        </is>
      </c>
      <c r="B22" s="116" t="n"/>
      <c r="C22" s="116" t="n"/>
      <c r="D22" s="116" t="n"/>
      <c r="E22" s="116" t="n"/>
      <c r="F22" s="116" t="n"/>
      <c r="G22" s="117" t="n"/>
      <c r="H22" s="118" t="n">
        <v>266396</v>
      </c>
    </row>
    <row r="23">
      <c r="A23" s="27" t="n"/>
      <c r="B23" s="28" t="n"/>
      <c r="C23" s="28" t="n"/>
      <c r="D23" s="28" t="n"/>
      <c r="E23" s="28" t="n"/>
      <c r="F23" s="28" t="n"/>
      <c r="G23" s="29" t="n"/>
      <c r="H23" s="119" t="n">
        <v>3492742</v>
      </c>
    </row>
    <row r="24" ht="15.6" customHeight="1">
      <c r="A24" s="30" t="inlineStr">
        <is>
          <t>Rupees:</t>
        </is>
      </c>
      <c r="B24" s="31" t="inlineStr">
        <is>
          <t>Thirty-Four Lakh, Ninety-Two Thousand, Seven Hundred And Forty-Two Only</t>
        </is>
      </c>
      <c r="G24" s="19" t="n"/>
      <c r="H24" s="114" t="n"/>
    </row>
    <row r="25" ht="15" customHeight="1" thickBot="1">
      <c r="A25" s="32" t="n"/>
      <c r="B25" s="33" t="n"/>
      <c r="C25" s="33" t="n"/>
      <c r="D25" s="33" t="n"/>
      <c r="E25" s="33" t="n"/>
      <c r="F25" s="33" t="n"/>
      <c r="G25" s="34" t="n"/>
      <c r="H25" s="120" t="n"/>
    </row>
    <row r="26" ht="15.6" customHeight="1">
      <c r="A26" s="30" t="n"/>
      <c r="B26" s="31" t="n"/>
      <c r="H26" s="121" t="n"/>
    </row>
    <row r="27">
      <c r="A27" s="36" t="n"/>
      <c r="H27" s="19" t="n"/>
    </row>
    <row r="28">
      <c r="A28" s="36" t="n"/>
      <c r="H28" s="19" t="n"/>
    </row>
    <row r="29">
      <c r="A29" s="36" t="n"/>
      <c r="H29" s="19" t="n"/>
    </row>
    <row r="30">
      <c r="A30" s="36" t="n"/>
      <c r="H30" s="19" t="n"/>
    </row>
    <row r="31">
      <c r="A31" s="36" t="n"/>
      <c r="H31" s="19" t="n"/>
    </row>
    <row r="32" ht="15" customHeight="1" thickBot="1">
      <c r="A32" s="36" t="n"/>
      <c r="H32" s="19" t="n"/>
    </row>
    <row r="33" ht="15" customHeight="1" thickBot="1">
      <c r="A33" s="122" t="inlineStr">
        <is>
          <t>Bank Details:</t>
        </is>
      </c>
      <c r="B33" s="100" t="n"/>
      <c r="C33" s="25" t="n"/>
      <c r="H33" s="19" t="n"/>
    </row>
    <row r="34">
      <c r="A34" s="36" t="inlineStr">
        <is>
          <t>Name:</t>
        </is>
      </c>
      <c r="B34" s="92" t="inlineStr">
        <is>
          <t>Jobuss Resources Pvt. Ltd.</t>
        </is>
      </c>
      <c r="C34" s="19" t="n"/>
      <c r="H34" s="19" t="n"/>
    </row>
    <row r="35">
      <c r="A35" s="36" t="inlineStr">
        <is>
          <t>Bank Name:</t>
        </is>
      </c>
      <c r="B35" s="92" t="inlineStr">
        <is>
          <t>ICICI Bank</t>
        </is>
      </c>
      <c r="C35" s="19" t="n"/>
      <c r="H35" s="19" t="n"/>
    </row>
    <row r="36">
      <c r="A36" s="36" t="inlineStr">
        <is>
          <t>A/c No.:</t>
        </is>
      </c>
      <c r="B36" s="123" t="inlineStr">
        <is>
          <t>120905000960</t>
        </is>
      </c>
      <c r="C36" s="19" t="n"/>
      <c r="H36" s="19" t="n"/>
    </row>
    <row r="37">
      <c r="A37" s="36" t="inlineStr">
        <is>
          <t>IFSC Code:</t>
        </is>
      </c>
      <c r="B37" s="92" t="inlineStr">
        <is>
          <t>ICIC0001209</t>
        </is>
      </c>
      <c r="C37" s="19" t="n"/>
      <c r="H37" s="19" t="n"/>
    </row>
    <row r="38" ht="15" customHeight="1" thickBot="1">
      <c r="A38" s="32" t="inlineStr">
        <is>
          <t>MICR No:</t>
        </is>
      </c>
      <c r="B38" s="124" t="inlineStr">
        <is>
          <t>400229195</t>
        </is>
      </c>
      <c r="C38" s="34" t="n"/>
      <c r="H38" s="19" t="n"/>
    </row>
    <row r="39">
      <c r="A39" s="36" t="n"/>
      <c r="H39" s="19" t="n"/>
    </row>
    <row r="40">
      <c r="A40" s="36" t="n"/>
      <c r="H40" s="19" t="n"/>
    </row>
    <row r="41">
      <c r="A41" s="36" t="n"/>
      <c r="H41" s="19" t="n"/>
    </row>
    <row r="42">
      <c r="A42" s="36" t="n"/>
      <c r="H42" s="19" t="n"/>
    </row>
    <row r="43">
      <c r="A43" s="36" t="n"/>
      <c r="H43" s="19" t="n"/>
    </row>
    <row r="44">
      <c r="A44" s="36" t="n"/>
      <c r="H44" s="19" t="n"/>
    </row>
    <row r="45" ht="15.6" customHeight="1">
      <c r="A45" s="36" t="n"/>
      <c r="G45" s="87" t="inlineStr">
        <is>
          <t xml:space="preserve">    For Jobuss Resources Pvt. Ltd.</t>
        </is>
      </c>
      <c r="H45" s="19" t="n"/>
    </row>
    <row r="46">
      <c r="A46" s="36" t="n"/>
      <c r="H46" s="19" t="n"/>
    </row>
    <row r="47">
      <c r="A47" s="36" t="n"/>
      <c r="H47" s="19" t="n"/>
    </row>
    <row r="48">
      <c r="A48" s="36" t="n"/>
      <c r="H48" s="19" t="n"/>
    </row>
    <row r="49">
      <c r="A49" s="36" t="n"/>
      <c r="H49" s="19" t="n"/>
    </row>
    <row r="50">
      <c r="A50" s="36" t="n"/>
      <c r="H50" s="19" t="n"/>
    </row>
    <row r="51">
      <c r="A51" s="36" t="n"/>
      <c r="H51" s="19" t="n"/>
    </row>
    <row r="52">
      <c r="A52" s="36" t="n"/>
      <c r="H52" s="19" t="n"/>
    </row>
    <row r="53" ht="15.6" customHeight="1">
      <c r="A53" s="36" t="n"/>
      <c r="G53" s="87" t="inlineStr">
        <is>
          <t xml:space="preserve">            Authorized Signatory</t>
        </is>
      </c>
      <c r="H53" s="19" t="n"/>
    </row>
    <row r="54" ht="15.6" customHeight="1">
      <c r="A54" s="36" t="n"/>
      <c r="G54" s="31" t="n"/>
      <c r="H54" s="19" t="n"/>
    </row>
    <row r="55" ht="15.6" customHeight="1">
      <c r="A55" s="36" t="n"/>
      <c r="G55" s="31" t="n"/>
      <c r="H55" s="19" t="n"/>
    </row>
    <row r="56" ht="15.6" customHeight="1">
      <c r="A56" s="36" t="n"/>
      <c r="G56" s="31" t="n"/>
      <c r="H56" s="19" t="n"/>
    </row>
    <row r="57" ht="15.6" customHeight="1">
      <c r="A57" s="36" t="n"/>
      <c r="G57" s="31" t="n"/>
      <c r="H57" s="19" t="n"/>
    </row>
    <row r="58" ht="15.6" customHeight="1">
      <c r="A58" s="36" t="n"/>
      <c r="G58" s="31" t="n"/>
      <c r="H58" s="19" t="n"/>
    </row>
    <row r="59" ht="15.6" customHeight="1">
      <c r="A59" s="36" t="n"/>
      <c r="G59" s="31" t="n"/>
      <c r="H59" s="19" t="n"/>
    </row>
    <row r="60" ht="15.6" customHeight="1">
      <c r="A60" s="36" t="n"/>
      <c r="G60" s="31" t="n"/>
      <c r="H60" s="19" t="n"/>
    </row>
    <row r="61" ht="15.6" customHeight="1">
      <c r="A61" s="36" t="n"/>
      <c r="G61" s="31" t="n"/>
      <c r="H61" s="19" t="n"/>
    </row>
    <row r="62" ht="15.6" customHeight="1">
      <c r="A62" s="36" t="n"/>
      <c r="G62" s="31" t="n"/>
      <c r="H62" s="19" t="n"/>
    </row>
    <row r="63">
      <c r="A63" s="36" t="n"/>
      <c r="H63" s="19" t="n"/>
    </row>
    <row r="64" ht="15.6" customHeight="1">
      <c r="A64" s="37" t="inlineStr">
        <is>
          <t>●   Early Remittance is Solicited.</t>
        </is>
      </c>
      <c r="B64" s="38" t="n"/>
      <c r="H64" s="19" t="n"/>
    </row>
    <row r="65" ht="15.75" customHeight="1">
      <c r="A65" s="125" t="inlineStr">
        <is>
          <t xml:space="preserve">  ●   GST No 27AAECJ2353C1ZX &amp; SAC Code 998513 Category: Employment Services including personnel search/referral service &amp; Labour Supply Service. Sub Category: Contract Staffing Services.</t>
        </is>
      </c>
      <c r="H65" s="19" t="n"/>
    </row>
    <row r="66" ht="22.5" customHeight="1">
      <c r="A66" s="36" t="n"/>
      <c r="H66" s="19" t="n"/>
    </row>
    <row r="67" ht="15" customHeight="1" thickBot="1">
      <c r="A67" s="32" t="n"/>
      <c r="B67" s="33" t="n"/>
      <c r="C67" s="33" t="n"/>
      <c r="D67" s="33" t="n"/>
      <c r="E67" s="33" t="n"/>
      <c r="F67" s="33" t="n"/>
      <c r="G67" s="33" t="n"/>
      <c r="H67" s="34" t="n"/>
    </row>
  </sheetData>
  <mergeCells count="31">
    <mergeCell ref="F16:G16"/>
    <mergeCell ref="A15:E15"/>
    <mergeCell ref="A22:G22"/>
    <mergeCell ref="F8:H8"/>
    <mergeCell ref="F2:H2"/>
    <mergeCell ref="A6:H6"/>
    <mergeCell ref="A33:C33"/>
    <mergeCell ref="A7:E7"/>
    <mergeCell ref="A14:C14"/>
    <mergeCell ref="H17:H20"/>
    <mergeCell ref="G53:H53"/>
    <mergeCell ref="F9:H9"/>
    <mergeCell ref="H23:H25"/>
    <mergeCell ref="B38:C38"/>
    <mergeCell ref="A3:H3"/>
    <mergeCell ref="F14:H14"/>
    <mergeCell ref="A2:E2"/>
    <mergeCell ref="B34:C34"/>
    <mergeCell ref="B37:C37"/>
    <mergeCell ref="A17:G20"/>
    <mergeCell ref="G45:H45"/>
    <mergeCell ref="A8:E8"/>
    <mergeCell ref="F11:H11"/>
    <mergeCell ref="A4:H4"/>
    <mergeCell ref="F10:H10"/>
    <mergeCell ref="A21:G21"/>
    <mergeCell ref="A10:E10"/>
    <mergeCell ref="B36:C36"/>
    <mergeCell ref="B35:C35"/>
    <mergeCell ref="A9:E9"/>
    <mergeCell ref="A65:H66"/>
  </mergeCells>
  <pageMargins left="0.7086614173228347" right="0.7086614173228347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26" t="inlineStr">
        <is>
          <t>Kind Attention Person</t>
        </is>
      </c>
      <c r="B1" s="126" t="inlineStr">
        <is>
          <t>Employee Code</t>
        </is>
      </c>
      <c r="C1" s="126" t="inlineStr">
        <is>
          <t>Employee Name</t>
        </is>
      </c>
      <c r="D1" s="126" t="inlineStr">
        <is>
          <t>Billing</t>
        </is>
      </c>
      <c r="E1" s="126" t="inlineStr">
        <is>
          <t>No of days</t>
        </is>
      </c>
      <c r="F1" s="126" t="inlineStr">
        <is>
          <t>Eligible Days</t>
        </is>
      </c>
      <c r="G1" s="126" t="inlineStr">
        <is>
          <t>No of Saturdays</t>
        </is>
      </c>
      <c r="H1" s="126" t="inlineStr">
        <is>
          <t>No of Sundays</t>
        </is>
      </c>
      <c r="I1" s="126" t="inlineStr">
        <is>
          <t>No of Holidays</t>
        </is>
      </c>
      <c r="J1" s="126" t="inlineStr">
        <is>
          <t>Total Present</t>
        </is>
      </c>
      <c r="K1" s="126" t="inlineStr">
        <is>
          <t>Total Working Days</t>
        </is>
      </c>
      <c r="L1" s="126" t="inlineStr">
        <is>
          <t>Absents this Month</t>
        </is>
      </c>
      <c r="M1" s="126" t="inlineStr">
        <is>
          <t>Adjustment of Days</t>
        </is>
      </c>
      <c r="N1" s="126" t="inlineStr">
        <is>
          <t>Total Payable Days</t>
        </is>
      </c>
      <c r="O1" s="126" t="inlineStr">
        <is>
          <t>Total Payable Billing</t>
        </is>
      </c>
      <c r="P1" s="126" t="inlineStr">
        <is>
          <t>Charges</t>
        </is>
      </c>
      <c r="Q1" s="126" t="inlineStr">
        <is>
          <t>Out of Pocket Exp</t>
        </is>
      </c>
      <c r="R1" s="126" t="inlineStr">
        <is>
          <t>Arrears</t>
        </is>
      </c>
      <c r="S1" s="126" t="inlineStr">
        <is>
          <t>Total</t>
        </is>
      </c>
      <c r="T1" s="126" t="inlineStr">
        <is>
          <t>CGST @9%</t>
        </is>
      </c>
      <c r="U1" s="126" t="inlineStr">
        <is>
          <t>SGST @9%</t>
        </is>
      </c>
      <c r="V1" s="126" t="inlineStr">
        <is>
          <t>Grand Total</t>
        </is>
      </c>
      <c r="W1" s="126" t="inlineStr">
        <is>
          <t>Remark</t>
        </is>
      </c>
    </row>
    <row r="2">
      <c r="A2" s="127" t="inlineStr">
        <is>
          <t>Anil Agarwal</t>
        </is>
      </c>
      <c r="B2" s="127" t="inlineStr">
        <is>
          <t>JB-10240</t>
        </is>
      </c>
      <c r="C2" s="127" t="inlineStr">
        <is>
          <t>ABHISHEK DATTATRAY MAHAJAN</t>
        </is>
      </c>
      <c r="D2" s="128" t="n">
        <v>70833</v>
      </c>
      <c r="E2" s="128" t="n">
        <v>31</v>
      </c>
      <c r="F2" s="128" t="n">
        <v>31</v>
      </c>
      <c r="G2" s="128" t="n">
        <v>4</v>
      </c>
      <c r="H2" s="128" t="n">
        <v>4</v>
      </c>
      <c r="I2" s="128" t="n">
        <v>1</v>
      </c>
      <c r="J2" s="128" t="n">
        <v>21</v>
      </c>
      <c r="K2" s="128" t="n">
        <v>30</v>
      </c>
      <c r="L2" s="128" t="n">
        <v>0</v>
      </c>
      <c r="M2" s="128" t="n">
        <v>1</v>
      </c>
      <c r="N2" s="128" t="n">
        <v>31</v>
      </c>
      <c r="O2" s="128" t="n">
        <v>70833</v>
      </c>
      <c r="P2" s="128" t="n">
        <v>750</v>
      </c>
      <c r="Q2" s="128" t="n">
        <v>0</v>
      </c>
      <c r="R2" s="128" t="n">
        <v>0</v>
      </c>
      <c r="S2" s="128" t="n">
        <v>71583</v>
      </c>
      <c r="T2" s="128" t="n">
        <v>6442.47</v>
      </c>
      <c r="U2" s="128" t="n">
        <v>6442.47</v>
      </c>
      <c r="V2" s="128" t="n">
        <v>84467.94</v>
      </c>
      <c r="W2" s="127" t="n">
        <v/>
      </c>
    </row>
    <row r="3">
      <c r="A3" s="127" t="inlineStr">
        <is>
          <t>Anil Agarwal</t>
        </is>
      </c>
      <c r="B3" s="127" t="inlineStr">
        <is>
          <t>JB-10202</t>
        </is>
      </c>
      <c r="C3" s="127" t="inlineStr">
        <is>
          <t>ADARSH CHANDRASHEKHAR NAIR</t>
        </is>
      </c>
      <c r="D3" s="128" t="n">
        <v>28800</v>
      </c>
      <c r="E3" s="128" t="n">
        <v>31</v>
      </c>
      <c r="F3" s="128" t="n">
        <v>31</v>
      </c>
      <c r="G3" s="128" t="n">
        <v>4</v>
      </c>
      <c r="H3" s="128" t="n">
        <v>4</v>
      </c>
      <c r="I3" s="128" t="n">
        <v>1</v>
      </c>
      <c r="J3" s="128" t="n">
        <v>21</v>
      </c>
      <c r="K3" s="128" t="n">
        <v>30</v>
      </c>
      <c r="L3" s="128" t="n">
        <v>0</v>
      </c>
      <c r="M3" s="128" t="n">
        <v>1</v>
      </c>
      <c r="N3" s="128" t="n">
        <v>31</v>
      </c>
      <c r="O3" s="128" t="n">
        <v>28800</v>
      </c>
      <c r="P3" s="128" t="n">
        <v>750</v>
      </c>
      <c r="Q3" s="128" t="n">
        <v>0</v>
      </c>
      <c r="R3" s="128" t="n">
        <v>0</v>
      </c>
      <c r="S3" s="128" t="n">
        <v>29550</v>
      </c>
      <c r="T3" s="128" t="n">
        <v>2659.5</v>
      </c>
      <c r="U3" s="128" t="n">
        <v>2659.5</v>
      </c>
      <c r="V3" s="128" t="n">
        <v>34869</v>
      </c>
      <c r="W3" s="127" t="n">
        <v/>
      </c>
    </row>
    <row r="4">
      <c r="A4" s="127" t="inlineStr">
        <is>
          <t>Anil Agarwal</t>
        </is>
      </c>
      <c r="B4" s="127" t="inlineStr">
        <is>
          <t>JB-10271</t>
        </is>
      </c>
      <c r="C4" s="127" t="inlineStr">
        <is>
          <t>ADITYA VIJAY GURAV</t>
        </is>
      </c>
      <c r="D4" s="128" t="n">
        <v>69300</v>
      </c>
      <c r="E4" s="128" t="n">
        <v>31</v>
      </c>
      <c r="F4" s="128" t="n">
        <v>19</v>
      </c>
      <c r="G4" s="128" t="n">
        <v>2</v>
      </c>
      <c r="H4" s="128" t="n">
        <v>2</v>
      </c>
      <c r="I4" s="128" t="n">
        <v>0</v>
      </c>
      <c r="J4" s="128" t="n">
        <v>15</v>
      </c>
      <c r="K4" s="128" t="n">
        <v>19</v>
      </c>
      <c r="L4" s="128" t="n">
        <v>0</v>
      </c>
      <c r="M4" s="128" t="n">
        <v>0</v>
      </c>
      <c r="N4" s="128" t="n">
        <v>19</v>
      </c>
      <c r="O4" s="128" t="n">
        <v>42474.19</v>
      </c>
      <c r="P4" s="128" t="n">
        <v>750</v>
      </c>
      <c r="Q4" s="128" t="n">
        <v>0</v>
      </c>
      <c r="R4" s="128" t="n">
        <v>0</v>
      </c>
      <c r="S4" s="128" t="n">
        <v>43224.19</v>
      </c>
      <c r="T4" s="128" t="n">
        <v>3890.18</v>
      </c>
      <c r="U4" s="128" t="n">
        <v>3890.18</v>
      </c>
      <c r="V4" s="128" t="n">
        <v>51004.55</v>
      </c>
      <c r="W4" s="127" t="inlineStr">
        <is>
          <t>New Joiner</t>
        </is>
      </c>
    </row>
    <row r="5">
      <c r="A5" s="127" t="inlineStr">
        <is>
          <t>Anil Agarwal</t>
        </is>
      </c>
      <c r="B5" s="127" t="inlineStr">
        <is>
          <t>JB-10006</t>
        </is>
      </c>
      <c r="C5" s="127" t="inlineStr">
        <is>
          <t>AJAY BALKRISHNA KALVIKATTE</t>
        </is>
      </c>
      <c r="D5" s="128" t="n">
        <v>36000</v>
      </c>
      <c r="E5" s="128" t="n">
        <v>31</v>
      </c>
      <c r="F5" s="128" t="n">
        <v>31</v>
      </c>
      <c r="G5" s="128" t="n">
        <v>4</v>
      </c>
      <c r="H5" s="128" t="n">
        <v>4</v>
      </c>
      <c r="I5" s="128" t="n">
        <v>1</v>
      </c>
      <c r="J5" s="128" t="n">
        <v>20</v>
      </c>
      <c r="K5" s="128" t="n">
        <v>29</v>
      </c>
      <c r="L5" s="128" t="n">
        <v>0</v>
      </c>
      <c r="M5" s="128" t="n">
        <v>2</v>
      </c>
      <c r="N5" s="128" t="n">
        <v>31</v>
      </c>
      <c r="O5" s="128" t="n">
        <v>36000</v>
      </c>
      <c r="P5" s="128" t="n">
        <v>750</v>
      </c>
      <c r="Q5" s="128" t="n">
        <v>0</v>
      </c>
      <c r="R5" s="128" t="n">
        <v>0</v>
      </c>
      <c r="S5" s="128" t="n">
        <v>36750</v>
      </c>
      <c r="T5" s="128" t="n">
        <v>3307.5</v>
      </c>
      <c r="U5" s="128" t="n">
        <v>3307.5</v>
      </c>
      <c r="V5" s="128" t="n">
        <v>43365</v>
      </c>
      <c r="W5" s="127" t="n">
        <v/>
      </c>
    </row>
    <row r="6">
      <c r="A6" s="127" t="inlineStr">
        <is>
          <t>Anil Agarwal</t>
        </is>
      </c>
      <c r="B6" s="127" t="inlineStr">
        <is>
          <t>JB-10101</t>
        </is>
      </c>
      <c r="C6" s="127" t="inlineStr">
        <is>
          <t>AKANKSHA ANANT RANE</t>
        </is>
      </c>
      <c r="D6" s="128" t="n">
        <v>30038</v>
      </c>
      <c r="E6" s="128" t="n">
        <v>31</v>
      </c>
      <c r="F6" s="128" t="n">
        <v>31</v>
      </c>
      <c r="G6" s="128" t="n">
        <v>4</v>
      </c>
      <c r="H6" s="128" t="n">
        <v>4</v>
      </c>
      <c r="I6" s="128" t="n">
        <v>1</v>
      </c>
      <c r="J6" s="128" t="n">
        <v>21</v>
      </c>
      <c r="K6" s="128" t="n">
        <v>30</v>
      </c>
      <c r="L6" s="128" t="n">
        <v>0</v>
      </c>
      <c r="M6" s="128" t="n">
        <v>1</v>
      </c>
      <c r="N6" s="128" t="n">
        <v>31</v>
      </c>
      <c r="O6" s="128" t="n">
        <v>30038</v>
      </c>
      <c r="P6" s="128" t="n">
        <v>750</v>
      </c>
      <c r="Q6" s="128" t="n">
        <v>0</v>
      </c>
      <c r="R6" s="128" t="n">
        <v>0</v>
      </c>
      <c r="S6" s="128" t="n">
        <v>30788</v>
      </c>
      <c r="T6" s="128" t="n">
        <v>2770.92</v>
      </c>
      <c r="U6" s="128" t="n">
        <v>2770.92</v>
      </c>
      <c r="V6" s="128" t="n">
        <v>36329.84</v>
      </c>
      <c r="W6" s="127" t="n">
        <v/>
      </c>
    </row>
    <row r="7">
      <c r="A7" s="127" t="inlineStr">
        <is>
          <t>Anil Agarwal</t>
        </is>
      </c>
      <c r="B7" s="127" t="inlineStr">
        <is>
          <t>JB-10250</t>
        </is>
      </c>
      <c r="C7" s="127" t="inlineStr">
        <is>
          <t>AKANSHA SANTOSH SHIVALKAR</t>
        </is>
      </c>
      <c r="D7" s="128" t="n">
        <v>83333</v>
      </c>
      <c r="E7" s="128" t="n">
        <v>31</v>
      </c>
      <c r="F7" s="128" t="n">
        <v>31</v>
      </c>
      <c r="G7" s="128" t="n">
        <v>4</v>
      </c>
      <c r="H7" s="128" t="n">
        <v>4</v>
      </c>
      <c r="I7" s="128" t="n">
        <v>1</v>
      </c>
      <c r="J7" s="128" t="n">
        <v>22</v>
      </c>
      <c r="K7" s="128" t="n">
        <v>31</v>
      </c>
      <c r="L7" s="128" t="n">
        <v>0</v>
      </c>
      <c r="M7" s="128" t="n">
        <v>0</v>
      </c>
      <c r="N7" s="128" t="n">
        <v>31</v>
      </c>
      <c r="O7" s="128" t="n">
        <v>83333</v>
      </c>
      <c r="P7" s="128" t="n">
        <v>750</v>
      </c>
      <c r="Q7" s="128" t="n">
        <v>0</v>
      </c>
      <c r="R7" s="128" t="n">
        <v>0</v>
      </c>
      <c r="S7" s="128" t="n">
        <v>84083</v>
      </c>
      <c r="T7" s="128" t="n">
        <v>7567.47</v>
      </c>
      <c r="U7" s="128" t="n">
        <v>7567.47</v>
      </c>
      <c r="V7" s="128" t="n">
        <v>99217.94</v>
      </c>
      <c r="W7" s="127" t="n">
        <v/>
      </c>
    </row>
    <row r="8">
      <c r="A8" s="127" t="inlineStr">
        <is>
          <t>Anil Agarwal</t>
        </is>
      </c>
      <c r="B8" s="127" t="inlineStr">
        <is>
          <t>JB-10232</t>
        </is>
      </c>
      <c r="C8" s="127" t="inlineStr">
        <is>
          <t>AKSHATA DHIRAJ SURVE</t>
        </is>
      </c>
      <c r="D8" s="128" t="n">
        <v>36570</v>
      </c>
      <c r="E8" s="128" t="n">
        <v>31</v>
      </c>
      <c r="F8" s="128" t="n">
        <v>11</v>
      </c>
      <c r="G8" s="128" t="n">
        <v>2</v>
      </c>
      <c r="H8" s="128" t="n">
        <v>1</v>
      </c>
      <c r="I8" s="128" t="n">
        <v>1</v>
      </c>
      <c r="J8" s="128" t="n">
        <v>7</v>
      </c>
      <c r="K8" s="128" t="n">
        <v>11</v>
      </c>
      <c r="L8" s="128" t="n">
        <v>0</v>
      </c>
      <c r="M8" s="128" t="n">
        <v>0</v>
      </c>
      <c r="N8" s="128" t="n">
        <v>11</v>
      </c>
      <c r="O8" s="128" t="n">
        <v>12976.45</v>
      </c>
      <c r="P8" s="128" t="n">
        <v>750</v>
      </c>
      <c r="Q8" s="128" t="n">
        <v>0</v>
      </c>
      <c r="R8" s="128" t="n">
        <v>0</v>
      </c>
      <c r="S8" s="128" t="n">
        <v>13726.45</v>
      </c>
      <c r="T8" s="128" t="n">
        <v>1235.38</v>
      </c>
      <c r="U8" s="128" t="n">
        <v>1235.38</v>
      </c>
      <c r="V8" s="128" t="n">
        <v>16197.21</v>
      </c>
      <c r="W8" s="127" t="inlineStr">
        <is>
          <t>LDW 31-01-26</t>
        </is>
      </c>
    </row>
    <row r="9">
      <c r="A9" s="127" t="inlineStr">
        <is>
          <t>Anil Agarwal</t>
        </is>
      </c>
      <c r="B9" s="127" t="inlineStr">
        <is>
          <t>JB-10061</t>
        </is>
      </c>
      <c r="C9" s="127" t="inlineStr">
        <is>
          <t>ALLAUDDIN ISMAIL SHAIKH</t>
        </is>
      </c>
      <c r="D9" s="128" t="n">
        <v>31928</v>
      </c>
      <c r="E9" s="128" t="n">
        <v>31</v>
      </c>
      <c r="F9" s="128" t="n">
        <v>31</v>
      </c>
      <c r="G9" s="128" t="n">
        <v>4</v>
      </c>
      <c r="H9" s="128" t="n">
        <v>4</v>
      </c>
      <c r="I9" s="128" t="n">
        <v>1</v>
      </c>
      <c r="J9" s="128" t="n">
        <v>22</v>
      </c>
      <c r="K9" s="128" t="n">
        <v>31</v>
      </c>
      <c r="L9" s="128" t="n">
        <v>0</v>
      </c>
      <c r="M9" s="128" t="n">
        <v>0</v>
      </c>
      <c r="N9" s="128" t="n">
        <v>31</v>
      </c>
      <c r="O9" s="128" t="n">
        <v>31928</v>
      </c>
      <c r="P9" s="128" t="n">
        <v>750</v>
      </c>
      <c r="Q9" s="128" t="n">
        <v>0</v>
      </c>
      <c r="R9" s="128" t="n">
        <v>0</v>
      </c>
      <c r="S9" s="128" t="n">
        <v>32678</v>
      </c>
      <c r="T9" s="128" t="n">
        <v>2941.02</v>
      </c>
      <c r="U9" s="128" t="n">
        <v>2941.02</v>
      </c>
      <c r="V9" s="128" t="n">
        <v>38560.04</v>
      </c>
      <c r="W9" s="127" t="n">
        <v/>
      </c>
    </row>
    <row r="10">
      <c r="A10" s="127" t="inlineStr">
        <is>
          <t>Anil Agarwal</t>
        </is>
      </c>
      <c r="B10" s="127" t="inlineStr">
        <is>
          <t>JB-10148</t>
        </is>
      </c>
      <c r="C10" s="127" t="inlineStr">
        <is>
          <t>ANKITA ANANT RANE</t>
        </is>
      </c>
      <c r="D10" s="128" t="n">
        <v>29522</v>
      </c>
      <c r="E10" s="128" t="n">
        <v>31</v>
      </c>
      <c r="F10" s="128" t="n">
        <v>31</v>
      </c>
      <c r="G10" s="128" t="n">
        <v>4</v>
      </c>
      <c r="H10" s="128" t="n">
        <v>4</v>
      </c>
      <c r="I10" s="128" t="n">
        <v>1</v>
      </c>
      <c r="J10" s="128" t="n">
        <v>22</v>
      </c>
      <c r="K10" s="128" t="n">
        <v>31</v>
      </c>
      <c r="L10" s="128" t="n">
        <v>0</v>
      </c>
      <c r="M10" s="128" t="n">
        <v>0</v>
      </c>
      <c r="N10" s="128" t="n">
        <v>31</v>
      </c>
      <c r="O10" s="128" t="n">
        <v>29522</v>
      </c>
      <c r="P10" s="128" t="n">
        <v>750</v>
      </c>
      <c r="Q10" s="128" t="n">
        <v>0</v>
      </c>
      <c r="R10" s="128" t="n">
        <v>0</v>
      </c>
      <c r="S10" s="128" t="n">
        <v>30272</v>
      </c>
      <c r="T10" s="128" t="n">
        <v>2724.48</v>
      </c>
      <c r="U10" s="128" t="n">
        <v>2724.48</v>
      </c>
      <c r="V10" s="128" t="n">
        <v>35720.96</v>
      </c>
      <c r="W10" s="127" t="n">
        <v/>
      </c>
    </row>
    <row r="11">
      <c r="A11" s="127" t="inlineStr">
        <is>
          <t>Anil Agarwal</t>
        </is>
      </c>
      <c r="B11" s="127" t="inlineStr">
        <is>
          <t>JB-10216</t>
        </is>
      </c>
      <c r="C11" s="127" t="inlineStr">
        <is>
          <t>ANKITA GOSWAMI</t>
        </is>
      </c>
      <c r="D11" s="128" t="n">
        <v>34570</v>
      </c>
      <c r="E11" s="128" t="n">
        <v>31</v>
      </c>
      <c r="F11" s="128" t="n">
        <v>31</v>
      </c>
      <c r="G11" s="128" t="n">
        <v>4</v>
      </c>
      <c r="H11" s="128" t="n">
        <v>4</v>
      </c>
      <c r="I11" s="128" t="n">
        <v>1</v>
      </c>
      <c r="J11" s="128" t="n">
        <v>22</v>
      </c>
      <c r="K11" s="128" t="n">
        <v>31</v>
      </c>
      <c r="L11" s="128" t="n">
        <v>0</v>
      </c>
      <c r="M11" s="128" t="n">
        <v>0</v>
      </c>
      <c r="N11" s="128" t="n">
        <v>31</v>
      </c>
      <c r="O11" s="128" t="n">
        <v>34570</v>
      </c>
      <c r="P11" s="128" t="n">
        <v>750</v>
      </c>
      <c r="Q11" s="128" t="n">
        <v>0</v>
      </c>
      <c r="R11" s="128" t="n">
        <v>0</v>
      </c>
      <c r="S11" s="128" t="n">
        <v>35320</v>
      </c>
      <c r="T11" s="128" t="n">
        <v>3178.8</v>
      </c>
      <c r="U11" s="128" t="n">
        <v>3178.8</v>
      </c>
      <c r="V11" s="128" t="n">
        <v>41677.6</v>
      </c>
      <c r="W11" s="127" t="n">
        <v/>
      </c>
    </row>
    <row r="12">
      <c r="A12" s="127" t="inlineStr">
        <is>
          <t>Anil Agarwal</t>
        </is>
      </c>
      <c r="B12" s="127" t="inlineStr">
        <is>
          <t>JB-10010</t>
        </is>
      </c>
      <c r="C12" s="127" t="inlineStr">
        <is>
          <t>ASHISH ASHOK SARVANKAR</t>
        </is>
      </c>
      <c r="D12" s="128" t="n">
        <v>34650</v>
      </c>
      <c r="E12" s="128" t="n">
        <v>31</v>
      </c>
      <c r="F12" s="128" t="n">
        <v>31</v>
      </c>
      <c r="G12" s="128" t="n">
        <v>4</v>
      </c>
      <c r="H12" s="128" t="n">
        <v>4</v>
      </c>
      <c r="I12" s="128" t="n">
        <v>1</v>
      </c>
      <c r="J12" s="128" t="n">
        <v>22</v>
      </c>
      <c r="K12" s="128" t="n">
        <v>31</v>
      </c>
      <c r="L12" s="128" t="n">
        <v>0</v>
      </c>
      <c r="M12" s="128" t="n">
        <v>0</v>
      </c>
      <c r="N12" s="128" t="n">
        <v>31</v>
      </c>
      <c r="O12" s="128" t="n">
        <v>34650</v>
      </c>
      <c r="P12" s="128" t="n">
        <v>750</v>
      </c>
      <c r="Q12" s="128" t="n">
        <v>0</v>
      </c>
      <c r="R12" s="128" t="n">
        <v>0</v>
      </c>
      <c r="S12" s="128" t="n">
        <v>35400</v>
      </c>
      <c r="T12" s="128" t="n">
        <v>3186</v>
      </c>
      <c r="U12" s="128" t="n">
        <v>3186</v>
      </c>
      <c r="V12" s="128" t="n">
        <v>41772</v>
      </c>
      <c r="W12" s="127" t="n">
        <v/>
      </c>
    </row>
    <row r="13">
      <c r="A13" s="127" t="inlineStr">
        <is>
          <t>Anil Agarwal</t>
        </is>
      </c>
      <c r="B13" s="127" t="inlineStr">
        <is>
          <t>JB-10247</t>
        </is>
      </c>
      <c r="C13" s="127" t="inlineStr">
        <is>
          <t>AVINASH MARUTI PAWAR</t>
        </is>
      </c>
      <c r="D13" s="128" t="n">
        <v>39500</v>
      </c>
      <c r="E13" s="128" t="n">
        <v>31</v>
      </c>
      <c r="F13" s="128" t="n">
        <v>31</v>
      </c>
      <c r="G13" s="128" t="n">
        <v>4</v>
      </c>
      <c r="H13" s="128" t="n">
        <v>4</v>
      </c>
      <c r="I13" s="128" t="n">
        <v>1</v>
      </c>
      <c r="J13" s="128" t="n">
        <v>22</v>
      </c>
      <c r="K13" s="128" t="n">
        <v>31</v>
      </c>
      <c r="L13" s="128" t="n">
        <v>0</v>
      </c>
      <c r="M13" s="128" t="n">
        <v>0</v>
      </c>
      <c r="N13" s="128" t="n">
        <v>31</v>
      </c>
      <c r="O13" s="128" t="n">
        <v>39500</v>
      </c>
      <c r="P13" s="128" t="n">
        <v>750</v>
      </c>
      <c r="Q13" s="128" t="n">
        <v>0</v>
      </c>
      <c r="R13" s="128" t="n">
        <v>0</v>
      </c>
      <c r="S13" s="128" t="n">
        <v>40250</v>
      </c>
      <c r="T13" s="128" t="n">
        <v>3622.5</v>
      </c>
      <c r="U13" s="128" t="n">
        <v>3622.5</v>
      </c>
      <c r="V13" s="128" t="n">
        <v>47495</v>
      </c>
      <c r="W13" s="127" t="n">
        <v/>
      </c>
    </row>
    <row r="14">
      <c r="A14" s="127" t="inlineStr">
        <is>
          <t>Anil Agarwal</t>
        </is>
      </c>
      <c r="B14" s="127" t="inlineStr">
        <is>
          <t>JB-10032</t>
        </is>
      </c>
      <c r="C14" s="127" t="inlineStr">
        <is>
          <t>BHUSHAN SUNIL ZAREKAR</t>
        </is>
      </c>
      <c r="D14" s="128" t="n">
        <v>24155</v>
      </c>
      <c r="E14" s="128" t="n">
        <v>31</v>
      </c>
      <c r="F14" s="128" t="n">
        <v>31</v>
      </c>
      <c r="G14" s="128" t="n">
        <v>4</v>
      </c>
      <c r="H14" s="128" t="n">
        <v>4</v>
      </c>
      <c r="I14" s="128" t="n">
        <v>1</v>
      </c>
      <c r="J14" s="128" t="n">
        <v>22</v>
      </c>
      <c r="K14" s="128" t="n">
        <v>31</v>
      </c>
      <c r="L14" s="128" t="n">
        <v>0</v>
      </c>
      <c r="M14" s="128" t="n">
        <v>0</v>
      </c>
      <c r="N14" s="128" t="n">
        <v>31</v>
      </c>
      <c r="O14" s="128" t="n">
        <v>24155</v>
      </c>
      <c r="P14" s="128" t="n">
        <v>750</v>
      </c>
      <c r="Q14" s="128" t="n">
        <v>0</v>
      </c>
      <c r="R14" s="128" t="n">
        <v>0</v>
      </c>
      <c r="S14" s="128" t="n">
        <v>24905</v>
      </c>
      <c r="T14" s="128" t="n">
        <v>2241.45</v>
      </c>
      <c r="U14" s="128" t="n">
        <v>2241.45</v>
      </c>
      <c r="V14" s="128" t="n">
        <v>29387.9</v>
      </c>
      <c r="W14" s="127" t="n">
        <v/>
      </c>
    </row>
    <row r="15">
      <c r="A15" s="127" t="inlineStr">
        <is>
          <t>Anil Agarwal</t>
        </is>
      </c>
      <c r="B15" s="127" t="inlineStr">
        <is>
          <t>JB-10001</t>
        </is>
      </c>
      <c r="C15" s="127" t="inlineStr">
        <is>
          <t>CHAITRALI SURESH SURVE</t>
        </is>
      </c>
      <c r="D15" s="128" t="n">
        <v>23375</v>
      </c>
      <c r="E15" s="128" t="n">
        <v>31</v>
      </c>
      <c r="F15" s="128" t="n">
        <v>11</v>
      </c>
      <c r="G15" s="128" t="n">
        <v>2</v>
      </c>
      <c r="H15" s="128" t="n">
        <v>1</v>
      </c>
      <c r="I15" s="128" t="n">
        <v>1</v>
      </c>
      <c r="J15" s="128" t="n">
        <v>7</v>
      </c>
      <c r="K15" s="128" t="n">
        <v>11</v>
      </c>
      <c r="L15" s="128" t="n">
        <v>0</v>
      </c>
      <c r="M15" s="128" t="n">
        <v>0</v>
      </c>
      <c r="N15" s="128" t="n">
        <v>11</v>
      </c>
      <c r="O15" s="128" t="n">
        <v>8294.35</v>
      </c>
      <c r="P15" s="128" t="n">
        <v>750</v>
      </c>
      <c r="Q15" s="128" t="n">
        <v>0</v>
      </c>
      <c r="R15" s="128" t="n">
        <v>0</v>
      </c>
      <c r="S15" s="128" t="n">
        <v>9044.35</v>
      </c>
      <c r="T15" s="128" t="n">
        <v>813.99</v>
      </c>
      <c r="U15" s="128" t="n">
        <v>813.99</v>
      </c>
      <c r="V15" s="128" t="n">
        <v>10672.34</v>
      </c>
      <c r="W15" s="127" t="inlineStr">
        <is>
          <t>LDW 31-01-26</t>
        </is>
      </c>
    </row>
    <row r="16">
      <c r="A16" s="127" t="inlineStr">
        <is>
          <t>Anil Agarwal</t>
        </is>
      </c>
      <c r="B16" s="127" t="inlineStr">
        <is>
          <t>JB-10207</t>
        </is>
      </c>
      <c r="C16" s="127" t="inlineStr">
        <is>
          <t>CHANDRASHEKHAR KASHINATH PARADKAR</t>
        </is>
      </c>
      <c r="D16" s="128" t="n">
        <v>112501</v>
      </c>
      <c r="E16" s="128" t="n">
        <v>31</v>
      </c>
      <c r="F16" s="128" t="n">
        <v>31</v>
      </c>
      <c r="G16" s="128" t="n">
        <v>4</v>
      </c>
      <c r="H16" s="128" t="n">
        <v>4</v>
      </c>
      <c r="I16" s="128" t="n">
        <v>1</v>
      </c>
      <c r="J16" s="128" t="n">
        <v>21</v>
      </c>
      <c r="K16" s="128" t="n">
        <v>30</v>
      </c>
      <c r="L16" s="128" t="n">
        <v>0</v>
      </c>
      <c r="M16" s="128" t="n">
        <v>1</v>
      </c>
      <c r="N16" s="128" t="n">
        <v>31</v>
      </c>
      <c r="O16" s="128" t="n">
        <v>112501</v>
      </c>
      <c r="P16" s="128" t="n">
        <v>750</v>
      </c>
      <c r="Q16" s="128" t="n">
        <v>0</v>
      </c>
      <c r="R16" s="128" t="n">
        <v>0</v>
      </c>
      <c r="S16" s="128" t="n">
        <v>113251</v>
      </c>
      <c r="T16" s="128" t="n">
        <v>10192.59</v>
      </c>
      <c r="U16" s="128" t="n">
        <v>10192.59</v>
      </c>
      <c r="V16" s="128" t="n">
        <v>133636.18</v>
      </c>
      <c r="W16" s="127" t="n">
        <v/>
      </c>
    </row>
    <row r="17">
      <c r="A17" s="127" t="inlineStr">
        <is>
          <t>Anil Agarwal</t>
        </is>
      </c>
      <c r="B17" s="127" t="inlineStr">
        <is>
          <t>JB-10200</t>
        </is>
      </c>
      <c r="C17" s="127" t="inlineStr">
        <is>
          <t>CHINMAYA KIRAN BANSOLE</t>
        </is>
      </c>
      <c r="D17" s="128" t="n">
        <v>55000</v>
      </c>
      <c r="E17" s="128" t="n">
        <v>31</v>
      </c>
      <c r="F17" s="128" t="n">
        <v>31</v>
      </c>
      <c r="G17" s="128" t="n">
        <v>4</v>
      </c>
      <c r="H17" s="128" t="n">
        <v>4</v>
      </c>
      <c r="I17" s="128" t="n">
        <v>1</v>
      </c>
      <c r="J17" s="128" t="n">
        <v>22</v>
      </c>
      <c r="K17" s="128" t="n">
        <v>31</v>
      </c>
      <c r="L17" s="128" t="n">
        <v>0</v>
      </c>
      <c r="M17" s="128" t="n">
        <v>0</v>
      </c>
      <c r="N17" s="128" t="n">
        <v>31</v>
      </c>
      <c r="O17" s="128" t="n">
        <v>55000</v>
      </c>
      <c r="P17" s="128" t="n">
        <v>750</v>
      </c>
      <c r="Q17" s="128" t="n">
        <v>0</v>
      </c>
      <c r="R17" s="128" t="n">
        <v>0</v>
      </c>
      <c r="S17" s="128" t="n">
        <v>55750</v>
      </c>
      <c r="T17" s="128" t="n">
        <v>5017.5</v>
      </c>
      <c r="U17" s="128" t="n">
        <v>5017.5</v>
      </c>
      <c r="V17" s="128" t="n">
        <v>65785</v>
      </c>
      <c r="W17" s="127" t="inlineStr">
        <is>
          <t>New Joiner</t>
        </is>
      </c>
    </row>
    <row r="18">
      <c r="A18" s="127" t="inlineStr">
        <is>
          <t>Anil Agarwal</t>
        </is>
      </c>
      <c r="B18" s="127" t="inlineStr">
        <is>
          <t>JB-10044</t>
        </is>
      </c>
      <c r="C18" s="127" t="inlineStr">
        <is>
          <t>DATTATRAY MADHUKAR GAIKWAD</t>
        </is>
      </c>
      <c r="D18" s="128" t="n">
        <v>32525.5</v>
      </c>
      <c r="E18" s="128" t="n">
        <v>31</v>
      </c>
      <c r="F18" s="128" t="n">
        <v>31</v>
      </c>
      <c r="G18" s="128" t="n">
        <v>4</v>
      </c>
      <c r="H18" s="128" t="n">
        <v>4</v>
      </c>
      <c r="I18" s="128" t="n">
        <v>1</v>
      </c>
      <c r="J18" s="128" t="n">
        <v>22</v>
      </c>
      <c r="K18" s="128" t="n">
        <v>31</v>
      </c>
      <c r="L18" s="128" t="n">
        <v>0</v>
      </c>
      <c r="M18" s="128" t="n">
        <v>0</v>
      </c>
      <c r="N18" s="128" t="n">
        <v>31</v>
      </c>
      <c r="O18" s="128" t="n">
        <v>32525.5</v>
      </c>
      <c r="P18" s="128" t="n">
        <v>750</v>
      </c>
      <c r="Q18" s="128" t="n">
        <v>0</v>
      </c>
      <c r="R18" s="128" t="n">
        <v>0</v>
      </c>
      <c r="S18" s="128" t="n">
        <v>33275.5</v>
      </c>
      <c r="T18" s="128" t="n">
        <v>2994.8</v>
      </c>
      <c r="U18" s="128" t="n">
        <v>2994.8</v>
      </c>
      <c r="V18" s="128" t="n">
        <v>39265.09</v>
      </c>
      <c r="W18" s="127" t="n">
        <v/>
      </c>
    </row>
    <row r="19">
      <c r="A19" s="127" t="inlineStr">
        <is>
          <t>Anil Agarwal</t>
        </is>
      </c>
      <c r="B19" s="127" t="inlineStr">
        <is>
          <t>JB-10062</t>
        </is>
      </c>
      <c r="C19" s="127" t="inlineStr">
        <is>
          <t>DEEPA SHOBHNATH TRIPATHI</t>
        </is>
      </c>
      <c r="D19" s="128" t="n">
        <v>37450</v>
      </c>
      <c r="E19" s="128" t="n">
        <v>31</v>
      </c>
      <c r="F19" s="128" t="n">
        <v>31</v>
      </c>
      <c r="G19" s="128" t="n">
        <v>4</v>
      </c>
      <c r="H19" s="128" t="n">
        <v>4</v>
      </c>
      <c r="I19" s="128" t="n">
        <v>1</v>
      </c>
      <c r="J19" s="128" t="n">
        <v>20</v>
      </c>
      <c r="K19" s="128" t="n">
        <v>29</v>
      </c>
      <c r="L19" s="128" t="n">
        <v>0</v>
      </c>
      <c r="M19" s="128" t="n">
        <v>2</v>
      </c>
      <c r="N19" s="128" t="n">
        <v>31</v>
      </c>
      <c r="O19" s="128" t="n">
        <v>37450</v>
      </c>
      <c r="P19" s="128" t="n">
        <v>750</v>
      </c>
      <c r="Q19" s="128" t="n">
        <v>0</v>
      </c>
      <c r="R19" s="128" t="n">
        <v>0</v>
      </c>
      <c r="S19" s="128" t="n">
        <v>38200</v>
      </c>
      <c r="T19" s="128" t="n">
        <v>3438</v>
      </c>
      <c r="U19" s="128" t="n">
        <v>3438</v>
      </c>
      <c r="V19" s="128" t="n">
        <v>45076</v>
      </c>
      <c r="W19" s="127" t="n">
        <v/>
      </c>
    </row>
    <row r="20">
      <c r="A20" s="127" t="inlineStr">
        <is>
          <t>Anil Agarwal</t>
        </is>
      </c>
      <c r="B20" s="127" t="inlineStr">
        <is>
          <t>JB-10203</t>
        </is>
      </c>
      <c r="C20" s="127" t="inlineStr">
        <is>
          <t>DIXITA ANIKET PATIL</t>
        </is>
      </c>
      <c r="D20" s="128" t="n">
        <v>54570</v>
      </c>
      <c r="E20" s="128" t="n">
        <v>31</v>
      </c>
      <c r="F20" s="128" t="n">
        <v>31</v>
      </c>
      <c r="G20" s="128" t="n">
        <v>4</v>
      </c>
      <c r="H20" s="128" t="n">
        <v>4</v>
      </c>
      <c r="I20" s="128" t="n">
        <v>1</v>
      </c>
      <c r="J20" s="128" t="n">
        <v>22</v>
      </c>
      <c r="K20" s="128" t="n">
        <v>31</v>
      </c>
      <c r="L20" s="128" t="n">
        <v>0</v>
      </c>
      <c r="M20" s="128" t="n">
        <v>0</v>
      </c>
      <c r="N20" s="128" t="n">
        <v>31</v>
      </c>
      <c r="O20" s="128" t="n">
        <v>54570</v>
      </c>
      <c r="P20" s="128" t="n">
        <v>750</v>
      </c>
      <c r="Q20" s="128" t="n">
        <v>0</v>
      </c>
      <c r="R20" s="128" t="n">
        <v>0</v>
      </c>
      <c r="S20" s="128" t="n">
        <v>55320</v>
      </c>
      <c r="T20" s="128" t="n">
        <v>4978.8</v>
      </c>
      <c r="U20" s="128" t="n">
        <v>4978.8</v>
      </c>
      <c r="V20" s="128" t="n">
        <v>65277.6</v>
      </c>
      <c r="W20" s="127" t="n">
        <v/>
      </c>
    </row>
    <row r="21">
      <c r="A21" s="127" t="inlineStr">
        <is>
          <t>Anil Agarwal</t>
        </is>
      </c>
      <c r="B21" s="127" t="inlineStr">
        <is>
          <t>JB-10233</t>
        </is>
      </c>
      <c r="C21" s="127" t="inlineStr">
        <is>
          <t>GIRISH VALECHA</t>
        </is>
      </c>
      <c r="D21" s="128" t="n">
        <v>33870</v>
      </c>
      <c r="E21" s="128" t="n">
        <v>31</v>
      </c>
      <c r="F21" s="128" t="n">
        <v>31</v>
      </c>
      <c r="G21" s="128" t="n">
        <v>4</v>
      </c>
      <c r="H21" s="128" t="n">
        <v>4</v>
      </c>
      <c r="I21" s="128" t="n">
        <v>1</v>
      </c>
      <c r="J21" s="128" t="n">
        <v>20</v>
      </c>
      <c r="K21" s="128" t="n">
        <v>29</v>
      </c>
      <c r="L21" s="128" t="n">
        <v>0</v>
      </c>
      <c r="M21" s="128" t="n">
        <v>2</v>
      </c>
      <c r="N21" s="128" t="n">
        <v>31</v>
      </c>
      <c r="O21" s="128" t="n">
        <v>33870</v>
      </c>
      <c r="P21" s="128" t="n">
        <v>750</v>
      </c>
      <c r="Q21" s="128" t="n">
        <v>0</v>
      </c>
      <c r="R21" s="128" t="n">
        <v>0</v>
      </c>
      <c r="S21" s="128" t="n">
        <v>34620</v>
      </c>
      <c r="T21" s="128" t="n">
        <v>3115.8</v>
      </c>
      <c r="U21" s="128" t="n">
        <v>3115.8</v>
      </c>
      <c r="V21" s="128" t="n">
        <v>40851.6</v>
      </c>
      <c r="W21" s="127" t="n">
        <v/>
      </c>
    </row>
    <row r="22">
      <c r="A22" s="127" t="inlineStr">
        <is>
          <t>Anil Agarwal</t>
        </is>
      </c>
      <c r="B22" s="127" t="inlineStr">
        <is>
          <t>JB-10239</t>
        </is>
      </c>
      <c r="C22" s="127" t="inlineStr">
        <is>
          <t>GITANJALI ANANT JADHAV</t>
        </is>
      </c>
      <c r="D22" s="128" t="n">
        <v>58334</v>
      </c>
      <c r="E22" s="128" t="n">
        <v>31</v>
      </c>
      <c r="F22" s="128" t="n">
        <v>10</v>
      </c>
      <c r="G22" s="128" t="n">
        <v>1</v>
      </c>
      <c r="H22" s="128" t="n">
        <v>1</v>
      </c>
      <c r="I22" s="128" t="n">
        <v>1</v>
      </c>
      <c r="J22" s="128" t="n">
        <v>7</v>
      </c>
      <c r="K22" s="128" t="n">
        <v>10</v>
      </c>
      <c r="L22" s="128" t="n">
        <v>0</v>
      </c>
      <c r="M22" s="128" t="n">
        <v>0</v>
      </c>
      <c r="N22" s="128" t="n">
        <v>10</v>
      </c>
      <c r="O22" s="128" t="n">
        <v>18817.42</v>
      </c>
      <c r="P22" s="128" t="n">
        <v>750</v>
      </c>
      <c r="Q22" s="128" t="n">
        <v>0</v>
      </c>
      <c r="R22" s="128" t="n">
        <v>0</v>
      </c>
      <c r="S22" s="128" t="n">
        <v>19567.42</v>
      </c>
      <c r="T22" s="128" t="n">
        <v>1761.07</v>
      </c>
      <c r="U22" s="128" t="n">
        <v>1761.07</v>
      </c>
      <c r="V22" s="128" t="n">
        <v>23089.55</v>
      </c>
      <c r="W22" s="127" t="inlineStr">
        <is>
          <t>LDW 30-01-26</t>
        </is>
      </c>
    </row>
    <row r="23">
      <c r="A23" s="127" t="inlineStr">
        <is>
          <t>Anil Agarwal</t>
        </is>
      </c>
      <c r="B23" s="127" t="inlineStr">
        <is>
          <t>JB-10024</t>
        </is>
      </c>
      <c r="C23" s="127" t="inlineStr">
        <is>
          <t>GULAB HANUMANTA KADAM</t>
        </is>
      </c>
      <c r="D23" s="128" t="n">
        <v>29975</v>
      </c>
      <c r="E23" s="128" t="n">
        <v>31</v>
      </c>
      <c r="F23" s="128" t="n">
        <v>31</v>
      </c>
      <c r="G23" s="128" t="n">
        <v>4</v>
      </c>
      <c r="H23" s="128" t="n">
        <v>4</v>
      </c>
      <c r="I23" s="128" t="n">
        <v>1</v>
      </c>
      <c r="J23" s="128" t="n">
        <v>22</v>
      </c>
      <c r="K23" s="128" t="n">
        <v>31</v>
      </c>
      <c r="L23" s="128" t="n">
        <v>0</v>
      </c>
      <c r="M23" s="128" t="n">
        <v>0</v>
      </c>
      <c r="N23" s="128" t="n">
        <v>31</v>
      </c>
      <c r="O23" s="128" t="n">
        <v>29975</v>
      </c>
      <c r="P23" s="128" t="n">
        <v>750</v>
      </c>
      <c r="Q23" s="128" t="n">
        <v>0</v>
      </c>
      <c r="R23" s="128" t="n">
        <v>0</v>
      </c>
      <c r="S23" s="128" t="n">
        <v>30725</v>
      </c>
      <c r="T23" s="128" t="n">
        <v>2765.25</v>
      </c>
      <c r="U23" s="128" t="n">
        <v>2765.25</v>
      </c>
      <c r="V23" s="128" t="n">
        <v>36255.5</v>
      </c>
      <c r="W23" s="127" t="n">
        <v/>
      </c>
    </row>
    <row r="24">
      <c r="A24" s="127" t="inlineStr">
        <is>
          <t>Anil Agarwal</t>
        </is>
      </c>
      <c r="B24" s="127" t="inlineStr">
        <is>
          <t>JB-10227</t>
        </is>
      </c>
      <c r="C24" s="127" t="inlineStr">
        <is>
          <t>HARSHADA SANDEEP GADAVE</t>
        </is>
      </c>
      <c r="D24" s="128" t="n">
        <v>31570</v>
      </c>
      <c r="E24" s="128" t="n">
        <v>31</v>
      </c>
      <c r="F24" s="128" t="n">
        <v>31</v>
      </c>
      <c r="G24" s="128" t="n">
        <v>4</v>
      </c>
      <c r="H24" s="128" t="n">
        <v>4</v>
      </c>
      <c r="I24" s="128" t="n">
        <v>1</v>
      </c>
      <c r="J24" s="128" t="n">
        <v>22</v>
      </c>
      <c r="K24" s="128" t="n">
        <v>31</v>
      </c>
      <c r="L24" s="128" t="n">
        <v>0</v>
      </c>
      <c r="M24" s="128" t="n">
        <v>0</v>
      </c>
      <c r="N24" s="128" t="n">
        <v>31</v>
      </c>
      <c r="O24" s="128" t="n">
        <v>31570</v>
      </c>
      <c r="P24" s="128" t="n">
        <v>750</v>
      </c>
      <c r="Q24" s="128" t="n">
        <v>0</v>
      </c>
      <c r="R24" s="128" t="n">
        <v>0</v>
      </c>
      <c r="S24" s="128" t="n">
        <v>32320</v>
      </c>
      <c r="T24" s="128" t="n">
        <v>2908.8</v>
      </c>
      <c r="U24" s="128" t="n">
        <v>2908.8</v>
      </c>
      <c r="V24" s="128" t="n">
        <v>38137.6</v>
      </c>
      <c r="W24" s="127" t="n">
        <v/>
      </c>
    </row>
    <row r="25">
      <c r="A25" s="127" t="inlineStr">
        <is>
          <t>Anil Agarwal</t>
        </is>
      </c>
      <c r="B25" s="127" t="inlineStr">
        <is>
          <t>JB-10242</t>
        </is>
      </c>
      <c r="C25" s="127" t="inlineStr">
        <is>
          <t>JANIPALLI RAJANI MOHAN</t>
        </is>
      </c>
      <c r="D25" s="128" t="n">
        <v>58334</v>
      </c>
      <c r="E25" s="128" t="n">
        <v>31</v>
      </c>
      <c r="F25" s="128" t="n">
        <v>16</v>
      </c>
      <c r="G25" s="128" t="n">
        <v>2</v>
      </c>
      <c r="H25" s="128" t="n">
        <v>2</v>
      </c>
      <c r="I25" s="128" t="n">
        <v>1</v>
      </c>
      <c r="J25" s="128" t="n">
        <v>11</v>
      </c>
      <c r="K25" s="128" t="n">
        <v>16</v>
      </c>
      <c r="L25" s="128" t="n">
        <v>0</v>
      </c>
      <c r="M25" s="128" t="n">
        <v>0</v>
      </c>
      <c r="N25" s="128" t="n">
        <v>16</v>
      </c>
      <c r="O25" s="128" t="n">
        <v>30107.87</v>
      </c>
      <c r="P25" s="128" t="n">
        <v>750</v>
      </c>
      <c r="Q25" s="128" t="n">
        <v>0</v>
      </c>
      <c r="R25" s="128" t="n">
        <v>0</v>
      </c>
      <c r="S25" s="128" t="n">
        <v>30857.87</v>
      </c>
      <c r="T25" s="128" t="n">
        <v>2777.21</v>
      </c>
      <c r="U25" s="128" t="n">
        <v>2777.21</v>
      </c>
      <c r="V25" s="128" t="n">
        <v>36412.29</v>
      </c>
      <c r="W25" s="127" t="inlineStr">
        <is>
          <t>LWD 05-02-2026</t>
        </is>
      </c>
    </row>
    <row r="26">
      <c r="A26" s="127" t="inlineStr">
        <is>
          <t>Anil Agarwal</t>
        </is>
      </c>
      <c r="B26" s="127" t="inlineStr">
        <is>
          <t>JB-10002</t>
        </is>
      </c>
      <c r="C26" s="127" t="inlineStr">
        <is>
          <t>JYOTI DATTARAM SHINDE</t>
        </is>
      </c>
      <c r="D26" s="128" t="n">
        <v>24544</v>
      </c>
      <c r="E26" s="128" t="n">
        <v>31</v>
      </c>
      <c r="F26" s="128" t="n">
        <v>31</v>
      </c>
      <c r="G26" s="128" t="n">
        <v>4</v>
      </c>
      <c r="H26" s="128" t="n">
        <v>4</v>
      </c>
      <c r="I26" s="128" t="n">
        <v>1</v>
      </c>
      <c r="J26" s="128" t="n">
        <v>22</v>
      </c>
      <c r="K26" s="128" t="n">
        <v>31</v>
      </c>
      <c r="L26" s="128" t="n">
        <v>0</v>
      </c>
      <c r="M26" s="128" t="n">
        <v>0</v>
      </c>
      <c r="N26" s="128" t="n">
        <v>31</v>
      </c>
      <c r="O26" s="128" t="n">
        <v>24544</v>
      </c>
      <c r="P26" s="128" t="n">
        <v>750</v>
      </c>
      <c r="Q26" s="128" t="n">
        <v>0</v>
      </c>
      <c r="R26" s="128" t="n">
        <v>0</v>
      </c>
      <c r="S26" s="128" t="n">
        <v>25294</v>
      </c>
      <c r="T26" s="128" t="n">
        <v>2276.46</v>
      </c>
      <c r="U26" s="128" t="n">
        <v>2276.46</v>
      </c>
      <c r="V26" s="128" t="n">
        <v>29846.92</v>
      </c>
      <c r="W26" s="127" t="n">
        <v/>
      </c>
    </row>
    <row r="27">
      <c r="A27" s="127" t="inlineStr">
        <is>
          <t>Anil Agarwal</t>
        </is>
      </c>
      <c r="B27" s="127" t="inlineStr">
        <is>
          <t>JB-10237</t>
        </is>
      </c>
      <c r="C27" s="127" t="inlineStr">
        <is>
          <t>KEVIN MARU</t>
        </is>
      </c>
      <c r="D27" s="128" t="n">
        <v>70833</v>
      </c>
      <c r="E27" s="128" t="n">
        <v>31</v>
      </c>
      <c r="F27" s="128" t="n">
        <v>31</v>
      </c>
      <c r="G27" s="128" t="n">
        <v>4</v>
      </c>
      <c r="H27" s="128" t="n">
        <v>4</v>
      </c>
      <c r="I27" s="128" t="n">
        <v>1</v>
      </c>
      <c r="J27" s="128" t="n">
        <v>21</v>
      </c>
      <c r="K27" s="128" t="n">
        <v>30</v>
      </c>
      <c r="L27" s="128" t="n">
        <v>0</v>
      </c>
      <c r="M27" s="128" t="n">
        <v>1</v>
      </c>
      <c r="N27" s="128" t="n">
        <v>31</v>
      </c>
      <c r="O27" s="128" t="n">
        <v>70833</v>
      </c>
      <c r="P27" s="128" t="n">
        <v>750</v>
      </c>
      <c r="Q27" s="128" t="n">
        <v>0</v>
      </c>
      <c r="R27" s="128" t="n">
        <v>0</v>
      </c>
      <c r="S27" s="128" t="n">
        <v>71583</v>
      </c>
      <c r="T27" s="128" t="n">
        <v>6442.47</v>
      </c>
      <c r="U27" s="128" t="n">
        <v>6442.47</v>
      </c>
      <c r="V27" s="128" t="n">
        <v>84467.94</v>
      </c>
      <c r="W27" s="127" t="n">
        <v/>
      </c>
    </row>
    <row r="28">
      <c r="A28" s="127" t="inlineStr">
        <is>
          <t>Anil Agarwal</t>
        </is>
      </c>
      <c r="B28" s="127" t="inlineStr">
        <is>
          <t>JB-10273</t>
        </is>
      </c>
      <c r="C28" s="127" t="inlineStr">
        <is>
          <t>KRUTIKA PRADEEP PATIL</t>
        </is>
      </c>
      <c r="D28" s="128" t="n">
        <v>20087</v>
      </c>
      <c r="E28" s="128" t="n">
        <v>31</v>
      </c>
      <c r="F28" s="128" t="n">
        <v>19</v>
      </c>
      <c r="G28" s="128" t="n">
        <v>2</v>
      </c>
      <c r="H28" s="128" t="n">
        <v>2</v>
      </c>
      <c r="I28" s="128" t="n">
        <v>0</v>
      </c>
      <c r="J28" s="128" t="n">
        <v>15</v>
      </c>
      <c r="K28" s="128" t="n">
        <v>19</v>
      </c>
      <c r="L28" s="128" t="n">
        <v>0</v>
      </c>
      <c r="M28" s="128" t="n">
        <v>0</v>
      </c>
      <c r="N28" s="128" t="n">
        <v>19</v>
      </c>
      <c r="O28" s="128" t="n">
        <v>12311.39</v>
      </c>
      <c r="P28" s="128" t="n">
        <v>750</v>
      </c>
      <c r="Q28" s="128" t="n">
        <v>0</v>
      </c>
      <c r="R28" s="128" t="n">
        <v>0</v>
      </c>
      <c r="S28" s="128" t="n">
        <v>13061.39</v>
      </c>
      <c r="T28" s="128" t="n">
        <v>1175.52</v>
      </c>
      <c r="U28" s="128" t="n">
        <v>1175.52</v>
      </c>
      <c r="V28" s="128" t="n">
        <v>15412.44</v>
      </c>
      <c r="W28" s="127" t="inlineStr">
        <is>
          <t>New Joiner</t>
        </is>
      </c>
    </row>
    <row r="29">
      <c r="A29" s="127" t="inlineStr">
        <is>
          <t>Anil Agarwal</t>
        </is>
      </c>
      <c r="B29" s="127" t="inlineStr">
        <is>
          <t>JB-10204</t>
        </is>
      </c>
      <c r="C29" s="127" t="inlineStr">
        <is>
          <t>KUNDAN MUNNA PANDIT</t>
        </is>
      </c>
      <c r="D29" s="128" t="n">
        <v>54570</v>
      </c>
      <c r="E29" s="128" t="n">
        <v>31</v>
      </c>
      <c r="F29" s="128" t="n">
        <v>31</v>
      </c>
      <c r="G29" s="128" t="n">
        <v>4</v>
      </c>
      <c r="H29" s="128" t="n">
        <v>4</v>
      </c>
      <c r="I29" s="128" t="n">
        <v>1</v>
      </c>
      <c r="J29" s="128" t="n">
        <v>22</v>
      </c>
      <c r="K29" s="128" t="n">
        <v>31</v>
      </c>
      <c r="L29" s="128" t="n">
        <v>0</v>
      </c>
      <c r="M29" s="128" t="n">
        <v>0</v>
      </c>
      <c r="N29" s="128" t="n">
        <v>31</v>
      </c>
      <c r="O29" s="128" t="n">
        <v>54570</v>
      </c>
      <c r="P29" s="128" t="n">
        <v>750</v>
      </c>
      <c r="Q29" s="128" t="n">
        <v>0</v>
      </c>
      <c r="R29" s="128" t="n">
        <v>0</v>
      </c>
      <c r="S29" s="128" t="n">
        <v>55320</v>
      </c>
      <c r="T29" s="128" t="n">
        <v>4978.8</v>
      </c>
      <c r="U29" s="128" t="n">
        <v>4978.8</v>
      </c>
      <c r="V29" s="128" t="n">
        <v>65277.6</v>
      </c>
      <c r="W29" s="127" t="n">
        <v/>
      </c>
    </row>
    <row r="30">
      <c r="A30" s="127" t="inlineStr">
        <is>
          <t>Anil Agarwal</t>
        </is>
      </c>
      <c r="B30" s="127" t="inlineStr">
        <is>
          <t>JB-10218</t>
        </is>
      </c>
      <c r="C30" s="127" t="inlineStr">
        <is>
          <t>LILADHAR KUMAR JHA</t>
        </is>
      </c>
      <c r="D30" s="128" t="n">
        <v>71668</v>
      </c>
      <c r="E30" s="128" t="n">
        <v>31</v>
      </c>
      <c r="F30" s="128" t="n">
        <v>31</v>
      </c>
      <c r="G30" s="128" t="n">
        <v>4</v>
      </c>
      <c r="H30" s="128" t="n">
        <v>4</v>
      </c>
      <c r="I30" s="128" t="n">
        <v>1</v>
      </c>
      <c r="J30" s="128" t="n">
        <v>21</v>
      </c>
      <c r="K30" s="128" t="n">
        <v>30</v>
      </c>
      <c r="L30" s="128" t="n">
        <v>0</v>
      </c>
      <c r="M30" s="128" t="n">
        <v>1</v>
      </c>
      <c r="N30" s="128" t="n">
        <v>31</v>
      </c>
      <c r="O30" s="128" t="n">
        <v>71668</v>
      </c>
      <c r="P30" s="128" t="n">
        <v>750</v>
      </c>
      <c r="Q30" s="128" t="n">
        <v>0</v>
      </c>
      <c r="R30" s="128" t="n">
        <v>0</v>
      </c>
      <c r="S30" s="128" t="n">
        <v>72418</v>
      </c>
      <c r="T30" s="128" t="n">
        <v>6517.62</v>
      </c>
      <c r="U30" s="128" t="n">
        <v>6517.62</v>
      </c>
      <c r="V30" s="128" t="n">
        <v>85453.24000000001</v>
      </c>
      <c r="W30" s="127" t="n">
        <v/>
      </c>
    </row>
    <row r="31">
      <c r="A31" s="127" t="inlineStr">
        <is>
          <t>Anil Agarwal</t>
        </is>
      </c>
      <c r="B31" s="127" t="inlineStr">
        <is>
          <t>JB-10090</t>
        </is>
      </c>
      <c r="C31" s="127" t="inlineStr">
        <is>
          <t>MAMATA RAGHUNATH NEWALKAR</t>
        </is>
      </c>
      <c r="D31" s="128" t="n">
        <v>26888</v>
      </c>
      <c r="E31" s="128" t="n">
        <v>31</v>
      </c>
      <c r="F31" s="128" t="n">
        <v>31</v>
      </c>
      <c r="G31" s="128" t="n">
        <v>4</v>
      </c>
      <c r="H31" s="128" t="n">
        <v>4</v>
      </c>
      <c r="I31" s="128" t="n">
        <v>1</v>
      </c>
      <c r="J31" s="128" t="n">
        <v>22</v>
      </c>
      <c r="K31" s="128" t="n">
        <v>31</v>
      </c>
      <c r="L31" s="128" t="n">
        <v>0</v>
      </c>
      <c r="M31" s="128" t="n">
        <v>0</v>
      </c>
      <c r="N31" s="128" t="n">
        <v>31</v>
      </c>
      <c r="O31" s="128" t="n">
        <v>26888</v>
      </c>
      <c r="P31" s="128" t="n">
        <v>750</v>
      </c>
      <c r="Q31" s="128" t="n">
        <v>0</v>
      </c>
      <c r="R31" s="128" t="n">
        <v>0</v>
      </c>
      <c r="S31" s="128" t="n">
        <v>27638</v>
      </c>
      <c r="T31" s="128" t="n">
        <v>2487.42</v>
      </c>
      <c r="U31" s="128" t="n">
        <v>2487.42</v>
      </c>
      <c r="V31" s="128" t="n">
        <v>32612.84</v>
      </c>
      <c r="W31" s="127" t="n">
        <v/>
      </c>
    </row>
    <row r="32">
      <c r="A32" s="127" t="inlineStr">
        <is>
          <t>Anil Agarwal</t>
        </is>
      </c>
      <c r="B32" s="127" t="inlineStr">
        <is>
          <t>JB-10083</t>
        </is>
      </c>
      <c r="C32" s="127" t="inlineStr">
        <is>
          <t>MEGHA VILAS GUND</t>
        </is>
      </c>
      <c r="D32" s="128" t="n">
        <v>35498</v>
      </c>
      <c r="E32" s="128" t="n">
        <v>31</v>
      </c>
      <c r="F32" s="128" t="n">
        <v>31</v>
      </c>
      <c r="G32" s="128" t="n">
        <v>4</v>
      </c>
      <c r="H32" s="128" t="n">
        <v>4</v>
      </c>
      <c r="I32" s="128" t="n">
        <v>1</v>
      </c>
      <c r="J32" s="128" t="n">
        <v>21</v>
      </c>
      <c r="K32" s="128" t="n">
        <v>30</v>
      </c>
      <c r="L32" s="128" t="n">
        <v>0</v>
      </c>
      <c r="M32" s="128" t="n">
        <v>1</v>
      </c>
      <c r="N32" s="128" t="n">
        <v>31</v>
      </c>
      <c r="O32" s="128" t="n">
        <v>35498</v>
      </c>
      <c r="P32" s="128" t="n">
        <v>750</v>
      </c>
      <c r="Q32" s="128" t="n">
        <v>0</v>
      </c>
      <c r="R32" s="128" t="n">
        <v>0</v>
      </c>
      <c r="S32" s="128" t="n">
        <v>36248</v>
      </c>
      <c r="T32" s="128" t="n">
        <v>3262.32</v>
      </c>
      <c r="U32" s="128" t="n">
        <v>3262.32</v>
      </c>
      <c r="V32" s="128" t="n">
        <v>42772.64</v>
      </c>
      <c r="W32" s="127" t="n">
        <v/>
      </c>
    </row>
    <row r="33">
      <c r="A33" s="127" t="inlineStr">
        <is>
          <t>Anil Agarwal</t>
        </is>
      </c>
      <c r="B33" s="127" t="inlineStr">
        <is>
          <t>JB-10134</t>
        </is>
      </c>
      <c r="C33" s="127" t="inlineStr">
        <is>
          <t>Meghana Balakrishnan Nair</t>
        </is>
      </c>
      <c r="D33" s="128" t="n">
        <v>57700</v>
      </c>
      <c r="E33" s="128" t="n">
        <v>31</v>
      </c>
      <c r="F33" s="128" t="n">
        <v>31</v>
      </c>
      <c r="G33" s="128" t="n">
        <v>4</v>
      </c>
      <c r="H33" s="128" t="n">
        <v>4</v>
      </c>
      <c r="I33" s="128" t="n">
        <v>1</v>
      </c>
      <c r="J33" s="128" t="n">
        <v>20</v>
      </c>
      <c r="K33" s="128" t="n">
        <v>29</v>
      </c>
      <c r="L33" s="128" t="n">
        <v>0</v>
      </c>
      <c r="M33" s="128" t="n">
        <v>2</v>
      </c>
      <c r="N33" s="128" t="n">
        <v>31</v>
      </c>
      <c r="O33" s="128" t="n">
        <v>57700</v>
      </c>
      <c r="P33" s="128" t="n">
        <v>750</v>
      </c>
      <c r="Q33" s="128" t="n">
        <v>0</v>
      </c>
      <c r="R33" s="128" t="n">
        <v>0</v>
      </c>
      <c r="S33" s="128" t="n">
        <v>58450</v>
      </c>
      <c r="T33" s="128" t="n">
        <v>5260.5</v>
      </c>
      <c r="U33" s="128" t="n">
        <v>5260.5</v>
      </c>
      <c r="V33" s="128" t="n">
        <v>68971</v>
      </c>
      <c r="W33" s="127" t="n">
        <v/>
      </c>
    </row>
    <row r="34">
      <c r="A34" s="127" t="inlineStr">
        <is>
          <t>Anil Agarwal</t>
        </is>
      </c>
      <c r="B34" s="127" t="inlineStr">
        <is>
          <t>JB-10033</t>
        </is>
      </c>
      <c r="C34" s="127" t="inlineStr">
        <is>
          <t>MEGHNA DESAI</t>
        </is>
      </c>
      <c r="D34" s="128" t="n">
        <v>32046</v>
      </c>
      <c r="E34" s="128" t="n">
        <v>31</v>
      </c>
      <c r="F34" s="128" t="n">
        <v>31</v>
      </c>
      <c r="G34" s="128" t="n">
        <v>4</v>
      </c>
      <c r="H34" s="128" t="n">
        <v>4</v>
      </c>
      <c r="I34" s="128" t="n">
        <v>1</v>
      </c>
      <c r="J34" s="128" t="n">
        <v>22</v>
      </c>
      <c r="K34" s="128" t="n">
        <v>31</v>
      </c>
      <c r="L34" s="128" t="n">
        <v>0</v>
      </c>
      <c r="M34" s="128" t="n">
        <v>0</v>
      </c>
      <c r="N34" s="128" t="n">
        <v>31</v>
      </c>
      <c r="O34" s="128" t="n">
        <v>32046</v>
      </c>
      <c r="P34" s="128" t="n">
        <v>750</v>
      </c>
      <c r="Q34" s="128" t="n">
        <v>0</v>
      </c>
      <c r="R34" s="128" t="n">
        <v>0</v>
      </c>
      <c r="S34" s="128" t="n">
        <v>32796</v>
      </c>
      <c r="T34" s="128" t="n">
        <v>2951.64</v>
      </c>
      <c r="U34" s="128" t="n">
        <v>2951.64</v>
      </c>
      <c r="V34" s="128" t="n">
        <v>38699.28</v>
      </c>
      <c r="W34" s="127" t="n">
        <v/>
      </c>
    </row>
    <row r="35">
      <c r="A35" s="127" t="inlineStr">
        <is>
          <t>Anil Agarwal</t>
        </is>
      </c>
      <c r="B35" s="127" t="inlineStr">
        <is>
          <t>JB-10268</t>
        </is>
      </c>
      <c r="C35" s="127" t="inlineStr">
        <is>
          <t>MIHIR DILIP SHAH</t>
        </is>
      </c>
      <c r="D35" s="128" t="n">
        <v>75000</v>
      </c>
      <c r="E35" s="128" t="n">
        <v>31</v>
      </c>
      <c r="F35" s="128" t="n">
        <v>25</v>
      </c>
      <c r="G35" s="128" t="n">
        <v>3</v>
      </c>
      <c r="H35" s="128" t="n">
        <v>3</v>
      </c>
      <c r="I35" s="128" t="n">
        <v>1</v>
      </c>
      <c r="J35" s="128" t="n">
        <v>18</v>
      </c>
      <c r="K35" s="128" t="n">
        <v>25</v>
      </c>
      <c r="L35" s="128" t="n">
        <v>0</v>
      </c>
      <c r="M35" s="128" t="n">
        <v>0</v>
      </c>
      <c r="N35" s="128" t="n">
        <v>25</v>
      </c>
      <c r="O35" s="128" t="n">
        <v>60483.87</v>
      </c>
      <c r="P35" s="128" t="n">
        <v>750</v>
      </c>
      <c r="Q35" s="128" t="n">
        <v>0</v>
      </c>
      <c r="R35" s="128" t="n">
        <v>0</v>
      </c>
      <c r="S35" s="128" t="n">
        <v>61233.87</v>
      </c>
      <c r="T35" s="128" t="n">
        <v>5511.05</v>
      </c>
      <c r="U35" s="128" t="n">
        <v>5511.05</v>
      </c>
      <c r="V35" s="128" t="n">
        <v>72255.97</v>
      </c>
      <c r="W35" s="127" t="inlineStr">
        <is>
          <t>New Joiner</t>
        </is>
      </c>
    </row>
    <row r="36">
      <c r="A36" s="127" t="inlineStr">
        <is>
          <t>Anil Agarwal</t>
        </is>
      </c>
      <c r="B36" s="127" t="inlineStr">
        <is>
          <t>JB-10003</t>
        </is>
      </c>
      <c r="C36" s="127" t="inlineStr">
        <is>
          <t>MOHAMMAD RIZWAN ANSARI</t>
        </is>
      </c>
      <c r="D36" s="128" t="n">
        <v>44138</v>
      </c>
      <c r="E36" s="128" t="n">
        <v>31</v>
      </c>
      <c r="F36" s="128" t="n">
        <v>31</v>
      </c>
      <c r="G36" s="128" t="n">
        <v>4</v>
      </c>
      <c r="H36" s="128" t="n">
        <v>4</v>
      </c>
      <c r="I36" s="128" t="n">
        <v>1</v>
      </c>
      <c r="J36" s="128" t="n">
        <v>22</v>
      </c>
      <c r="K36" s="128" t="n">
        <v>31</v>
      </c>
      <c r="L36" s="128" t="n">
        <v>0</v>
      </c>
      <c r="M36" s="128" t="n">
        <v>0</v>
      </c>
      <c r="N36" s="128" t="n">
        <v>31</v>
      </c>
      <c r="O36" s="128" t="n">
        <v>44138</v>
      </c>
      <c r="P36" s="128" t="n">
        <v>750</v>
      </c>
      <c r="Q36" s="128" t="n">
        <v>0</v>
      </c>
      <c r="R36" s="128" t="n">
        <v>0</v>
      </c>
      <c r="S36" s="128" t="n">
        <v>44888</v>
      </c>
      <c r="T36" s="128" t="n">
        <v>4039.92</v>
      </c>
      <c r="U36" s="128" t="n">
        <v>4039.92</v>
      </c>
      <c r="V36" s="128" t="n">
        <v>52967.84</v>
      </c>
      <c r="W36" s="127" t="n">
        <v/>
      </c>
    </row>
    <row r="37">
      <c r="A37" s="127" t="inlineStr">
        <is>
          <t>Anil Agarwal</t>
        </is>
      </c>
      <c r="B37" s="127" t="inlineStr">
        <is>
          <t>JB-10258</t>
        </is>
      </c>
      <c r="C37" s="127" t="inlineStr">
        <is>
          <t>MOUBANI PRAKASH LALWANI</t>
        </is>
      </c>
      <c r="D37" s="128" t="n">
        <v>45767</v>
      </c>
      <c r="E37" s="128" t="n">
        <v>31</v>
      </c>
      <c r="F37" s="128" t="n">
        <v>31</v>
      </c>
      <c r="G37" s="128" t="n">
        <v>4</v>
      </c>
      <c r="H37" s="128" t="n">
        <v>4</v>
      </c>
      <c r="I37" s="128" t="n">
        <v>1</v>
      </c>
      <c r="J37" s="128" t="n">
        <v>22</v>
      </c>
      <c r="K37" s="128" t="n">
        <v>31</v>
      </c>
      <c r="L37" s="128" t="n">
        <v>0</v>
      </c>
      <c r="M37" s="128" t="n">
        <v>0</v>
      </c>
      <c r="N37" s="128" t="n">
        <v>31</v>
      </c>
      <c r="O37" s="128" t="n">
        <v>45767</v>
      </c>
      <c r="P37" s="128" t="n">
        <v>750</v>
      </c>
      <c r="Q37" s="128" t="n">
        <v>0</v>
      </c>
      <c r="R37" s="128" t="n">
        <v>0</v>
      </c>
      <c r="S37" s="128" t="n">
        <v>46517</v>
      </c>
      <c r="T37" s="128" t="n">
        <v>4186.53</v>
      </c>
      <c r="U37" s="128" t="n">
        <v>4186.53</v>
      </c>
      <c r="V37" s="128" t="n">
        <v>54890.06</v>
      </c>
      <c r="W37" s="127" t="n">
        <v/>
      </c>
    </row>
    <row r="38">
      <c r="A38" s="127" t="inlineStr">
        <is>
          <t>Anil Agarwal</t>
        </is>
      </c>
      <c r="B38" s="127" t="inlineStr">
        <is>
          <t>JB-10280</t>
        </is>
      </c>
      <c r="C38" s="127" t="inlineStr">
        <is>
          <t>NIKITA LILADHAR BHAVSAR</t>
        </is>
      </c>
      <c r="D38" s="128" t="n">
        <v>35292</v>
      </c>
      <c r="E38" s="128" t="n">
        <v>31</v>
      </c>
      <c r="F38" s="128" t="n">
        <v>11</v>
      </c>
      <c r="G38" s="128" t="n">
        <v>1</v>
      </c>
      <c r="H38" s="128" t="n">
        <v>1</v>
      </c>
      <c r="I38" s="128" t="n">
        <v>0</v>
      </c>
      <c r="J38" s="128" t="n">
        <v>9</v>
      </c>
      <c r="K38" s="128" t="n">
        <v>11</v>
      </c>
      <c r="L38" s="128" t="n">
        <v>0</v>
      </c>
      <c r="M38" s="128" t="n">
        <v>0</v>
      </c>
      <c r="N38" s="128" t="n">
        <v>11</v>
      </c>
      <c r="O38" s="128" t="n">
        <v>12522.97</v>
      </c>
      <c r="P38" s="128" t="n">
        <v>750</v>
      </c>
      <c r="Q38" s="128" t="n">
        <v>0</v>
      </c>
      <c r="R38" s="128" t="n">
        <v>0</v>
      </c>
      <c r="S38" s="128" t="n">
        <v>13272.97</v>
      </c>
      <c r="T38" s="128" t="n">
        <v>1194.57</v>
      </c>
      <c r="U38" s="128" t="n">
        <v>1194.57</v>
      </c>
      <c r="V38" s="128" t="n">
        <v>15662.1</v>
      </c>
      <c r="W38" s="127" t="inlineStr">
        <is>
          <t>New Joiner</t>
        </is>
      </c>
    </row>
    <row r="39">
      <c r="A39" s="127" t="inlineStr">
        <is>
          <t>Anil Agarwal</t>
        </is>
      </c>
      <c r="B39" s="127" t="inlineStr">
        <is>
          <t>JB-10264</t>
        </is>
      </c>
      <c r="C39" s="127" t="inlineStr">
        <is>
          <t>POOJA AJAY CHAURASIA</t>
        </is>
      </c>
      <c r="D39" s="128" t="n">
        <v>29100</v>
      </c>
      <c r="E39" s="128" t="n">
        <v>31</v>
      </c>
      <c r="F39" s="128" t="n">
        <v>31</v>
      </c>
      <c r="G39" s="128" t="n">
        <v>4</v>
      </c>
      <c r="H39" s="128" t="n">
        <v>4</v>
      </c>
      <c r="I39" s="128" t="n">
        <v>1</v>
      </c>
      <c r="J39" s="128" t="n">
        <v>22</v>
      </c>
      <c r="K39" s="128" t="n">
        <v>31</v>
      </c>
      <c r="L39" s="128" t="n">
        <v>0</v>
      </c>
      <c r="M39" s="128" t="n">
        <v>0</v>
      </c>
      <c r="N39" s="128" t="n">
        <v>31</v>
      </c>
      <c r="O39" s="128" t="n">
        <v>29100</v>
      </c>
      <c r="P39" s="128" t="n">
        <v>750</v>
      </c>
      <c r="Q39" s="128" t="n">
        <v>0</v>
      </c>
      <c r="R39" s="128" t="n">
        <v>0</v>
      </c>
      <c r="S39" s="128" t="n">
        <v>29850</v>
      </c>
      <c r="T39" s="128" t="n">
        <v>2686.5</v>
      </c>
      <c r="U39" s="128" t="n">
        <v>2686.5</v>
      </c>
      <c r="V39" s="128" t="n">
        <v>35223</v>
      </c>
      <c r="W39" s="127" t="n">
        <v/>
      </c>
    </row>
    <row r="40">
      <c r="A40" s="127" t="inlineStr">
        <is>
          <t>Anil Agarwal</t>
        </is>
      </c>
      <c r="B40" s="127" t="inlineStr">
        <is>
          <t>JB-10005</t>
        </is>
      </c>
      <c r="C40" s="127" t="inlineStr">
        <is>
          <t>POOJA CHANDRAKANT BHAVKE</t>
        </is>
      </c>
      <c r="D40" s="128" t="n">
        <v>43346</v>
      </c>
      <c r="E40" s="128" t="n">
        <v>31</v>
      </c>
      <c r="F40" s="128" t="n">
        <v>31</v>
      </c>
      <c r="G40" s="128" t="n">
        <v>4</v>
      </c>
      <c r="H40" s="128" t="n">
        <v>4</v>
      </c>
      <c r="I40" s="128" t="n">
        <v>1</v>
      </c>
      <c r="J40" s="128" t="n">
        <v>21</v>
      </c>
      <c r="K40" s="128" t="n">
        <v>30</v>
      </c>
      <c r="L40" s="128" t="n">
        <v>0</v>
      </c>
      <c r="M40" s="128" t="n">
        <v>1</v>
      </c>
      <c r="N40" s="128" t="n">
        <v>31</v>
      </c>
      <c r="O40" s="128" t="n">
        <v>43346</v>
      </c>
      <c r="P40" s="128" t="n">
        <v>750</v>
      </c>
      <c r="Q40" s="128" t="n">
        <v>0</v>
      </c>
      <c r="R40" s="128" t="n">
        <v>0</v>
      </c>
      <c r="S40" s="128" t="n">
        <v>44096</v>
      </c>
      <c r="T40" s="128" t="n">
        <v>3968.64</v>
      </c>
      <c r="U40" s="128" t="n">
        <v>3968.64</v>
      </c>
      <c r="V40" s="128" t="n">
        <v>52033.28</v>
      </c>
      <c r="W40" s="127" t="n">
        <v/>
      </c>
    </row>
    <row r="41">
      <c r="A41" s="127" t="inlineStr">
        <is>
          <t>Anil Agarwal</t>
        </is>
      </c>
      <c r="B41" s="127" t="inlineStr">
        <is>
          <t>JB-10196</t>
        </is>
      </c>
      <c r="C41" s="127" t="inlineStr">
        <is>
          <t>POOJA SHIVKUMAR SHARMA</t>
        </is>
      </c>
      <c r="D41" s="128" t="n">
        <v>33800</v>
      </c>
      <c r="E41" s="128" t="n">
        <v>31</v>
      </c>
      <c r="F41" s="128" t="n">
        <v>31</v>
      </c>
      <c r="G41" s="128" t="n">
        <v>4</v>
      </c>
      <c r="H41" s="128" t="n">
        <v>4</v>
      </c>
      <c r="I41" s="128" t="n">
        <v>1</v>
      </c>
      <c r="J41" s="128" t="n">
        <v>20</v>
      </c>
      <c r="K41" s="128" t="n">
        <v>29</v>
      </c>
      <c r="L41" s="128" t="n">
        <v>0</v>
      </c>
      <c r="M41" s="128" t="n">
        <v>2</v>
      </c>
      <c r="N41" s="128" t="n">
        <v>31</v>
      </c>
      <c r="O41" s="128" t="n">
        <v>33800</v>
      </c>
      <c r="P41" s="128" t="n">
        <v>750</v>
      </c>
      <c r="Q41" s="128" t="n">
        <v>0</v>
      </c>
      <c r="R41" s="128" t="n">
        <v>0</v>
      </c>
      <c r="S41" s="128" t="n">
        <v>34550</v>
      </c>
      <c r="T41" s="128" t="n">
        <v>3109.5</v>
      </c>
      <c r="U41" s="128" t="n">
        <v>3109.5</v>
      </c>
      <c r="V41" s="128" t="n">
        <v>40769</v>
      </c>
      <c r="W41" s="127" t="n">
        <v/>
      </c>
    </row>
    <row r="42">
      <c r="A42" s="127" t="inlineStr">
        <is>
          <t>Anil Agarwal</t>
        </is>
      </c>
      <c r="B42" s="127" t="inlineStr">
        <is>
          <t>JB-10272</t>
        </is>
      </c>
      <c r="C42" s="127" t="inlineStr">
        <is>
          <t>PRADNYA SANTOSH PHALKE</t>
        </is>
      </c>
      <c r="D42" s="128" t="n">
        <v>34500</v>
      </c>
      <c r="E42" s="128" t="n">
        <v>31</v>
      </c>
      <c r="F42" s="128" t="n">
        <v>23</v>
      </c>
      <c r="G42" s="128" t="n">
        <v>3</v>
      </c>
      <c r="H42" s="128" t="n">
        <v>3</v>
      </c>
      <c r="I42" s="128" t="n">
        <v>0</v>
      </c>
      <c r="J42" s="128" t="n">
        <v>17</v>
      </c>
      <c r="K42" s="128" t="n">
        <v>23</v>
      </c>
      <c r="L42" s="128" t="n">
        <v>0</v>
      </c>
      <c r="M42" s="128" t="n">
        <v>0</v>
      </c>
      <c r="N42" s="128" t="n">
        <v>23</v>
      </c>
      <c r="O42" s="128" t="n">
        <v>25596.77</v>
      </c>
      <c r="P42" s="128" t="n">
        <v>750</v>
      </c>
      <c r="Q42" s="128" t="n">
        <v>0</v>
      </c>
      <c r="R42" s="128" t="n">
        <v>0</v>
      </c>
      <c r="S42" s="128" t="n">
        <v>26346.77</v>
      </c>
      <c r="T42" s="128" t="n">
        <v>2371.21</v>
      </c>
      <c r="U42" s="128" t="n">
        <v>2371.21</v>
      </c>
      <c r="V42" s="128" t="n">
        <v>31089.19</v>
      </c>
      <c r="W42" s="127" t="inlineStr">
        <is>
          <t>New Joiner</t>
        </is>
      </c>
    </row>
    <row r="43">
      <c r="A43" s="127" t="inlineStr">
        <is>
          <t>Anil Agarwal</t>
        </is>
      </c>
      <c r="B43" s="127" t="inlineStr">
        <is>
          <t>JB-10205</t>
        </is>
      </c>
      <c r="C43" s="127" t="inlineStr">
        <is>
          <t>PRAJJWAL PRAKASH PEDNEKAR</t>
        </is>
      </c>
      <c r="D43" s="128" t="n">
        <v>45570</v>
      </c>
      <c r="E43" s="128" t="n">
        <v>31</v>
      </c>
      <c r="F43" s="128" t="n">
        <v>31</v>
      </c>
      <c r="G43" s="128" t="n">
        <v>4</v>
      </c>
      <c r="H43" s="128" t="n">
        <v>4</v>
      </c>
      <c r="I43" s="128" t="n">
        <v>1</v>
      </c>
      <c r="J43" s="128" t="n">
        <v>22</v>
      </c>
      <c r="K43" s="128" t="n">
        <v>31</v>
      </c>
      <c r="L43" s="128" t="n">
        <v>0</v>
      </c>
      <c r="M43" s="128" t="n">
        <v>0</v>
      </c>
      <c r="N43" s="128" t="n">
        <v>31</v>
      </c>
      <c r="O43" s="128" t="n">
        <v>45570</v>
      </c>
      <c r="P43" s="128" t="n">
        <v>750</v>
      </c>
      <c r="Q43" s="128" t="n">
        <v>0</v>
      </c>
      <c r="R43" s="128" t="n">
        <v>0</v>
      </c>
      <c r="S43" s="128" t="n">
        <v>46320</v>
      </c>
      <c r="T43" s="128" t="n">
        <v>4168.8</v>
      </c>
      <c r="U43" s="128" t="n">
        <v>4168.8</v>
      </c>
      <c r="V43" s="128" t="n">
        <v>54657.6</v>
      </c>
      <c r="W43" s="127" t="n">
        <v/>
      </c>
    </row>
    <row r="44">
      <c r="A44" s="127" t="inlineStr">
        <is>
          <t>Anil Agarwal</t>
        </is>
      </c>
      <c r="B44" s="127" t="inlineStr">
        <is>
          <t>JB-10220</t>
        </is>
      </c>
      <c r="C44" s="127" t="inlineStr">
        <is>
          <t>PRANAY PRABHAKAR CHAVAN</t>
        </is>
      </c>
      <c r="D44" s="128" t="n">
        <v>31570</v>
      </c>
      <c r="E44" s="128" t="n">
        <v>31</v>
      </c>
      <c r="F44" s="128" t="n">
        <v>31</v>
      </c>
      <c r="G44" s="128" t="n">
        <v>4</v>
      </c>
      <c r="H44" s="128" t="n">
        <v>4</v>
      </c>
      <c r="I44" s="128" t="n">
        <v>1</v>
      </c>
      <c r="J44" s="128" t="n">
        <v>21</v>
      </c>
      <c r="K44" s="128" t="n">
        <v>30</v>
      </c>
      <c r="L44" s="128" t="n">
        <v>0</v>
      </c>
      <c r="M44" s="128" t="n">
        <v>1</v>
      </c>
      <c r="N44" s="128" t="n">
        <v>31</v>
      </c>
      <c r="O44" s="128" t="n">
        <v>31570</v>
      </c>
      <c r="P44" s="128" t="n">
        <v>750</v>
      </c>
      <c r="Q44" s="128" t="n">
        <v>0</v>
      </c>
      <c r="R44" s="128" t="n">
        <v>0</v>
      </c>
      <c r="S44" s="128" t="n">
        <v>32320</v>
      </c>
      <c r="T44" s="128" t="n">
        <v>2908.8</v>
      </c>
      <c r="U44" s="128" t="n">
        <v>2908.8</v>
      </c>
      <c r="V44" s="128" t="n">
        <v>38137.6</v>
      </c>
      <c r="W44" s="127" t="n">
        <v/>
      </c>
    </row>
    <row r="45">
      <c r="A45" s="127" t="inlineStr">
        <is>
          <t>Anil Agarwal</t>
        </is>
      </c>
      <c r="B45" s="127" t="inlineStr">
        <is>
          <t>JB-10106</t>
        </is>
      </c>
      <c r="C45" s="127" t="inlineStr">
        <is>
          <t>PRATHAMESH ARUN PATIL</t>
        </is>
      </c>
      <c r="D45" s="128" t="n">
        <v>31298</v>
      </c>
      <c r="E45" s="128" t="n">
        <v>31</v>
      </c>
      <c r="F45" s="128" t="n">
        <v>31</v>
      </c>
      <c r="G45" s="128" t="n">
        <v>4</v>
      </c>
      <c r="H45" s="128" t="n">
        <v>4</v>
      </c>
      <c r="I45" s="128" t="n">
        <v>1</v>
      </c>
      <c r="J45" s="128" t="n">
        <v>22</v>
      </c>
      <c r="K45" s="128" t="n">
        <v>31</v>
      </c>
      <c r="L45" s="128" t="n">
        <v>0</v>
      </c>
      <c r="M45" s="128" t="n">
        <v>0</v>
      </c>
      <c r="N45" s="128" t="n">
        <v>31</v>
      </c>
      <c r="O45" s="128" t="n">
        <v>31298</v>
      </c>
      <c r="P45" s="128" t="n">
        <v>750</v>
      </c>
      <c r="Q45" s="128" t="n">
        <v>0</v>
      </c>
      <c r="R45" s="128" t="n">
        <v>0</v>
      </c>
      <c r="S45" s="128" t="n">
        <v>32048</v>
      </c>
      <c r="T45" s="128" t="n">
        <v>2884.32</v>
      </c>
      <c r="U45" s="128" t="n">
        <v>2884.32</v>
      </c>
      <c r="V45" s="128" t="n">
        <v>37816.64</v>
      </c>
      <c r="W45" s="127" t="n">
        <v/>
      </c>
    </row>
    <row r="46">
      <c r="A46" s="127" t="inlineStr">
        <is>
          <t>Anil Agarwal</t>
        </is>
      </c>
      <c r="B46" s="127" t="inlineStr">
        <is>
          <t>JB-10206</t>
        </is>
      </c>
      <c r="C46" s="127" t="inlineStr">
        <is>
          <t>PRATHAMESH AVINASH DESHMUKH</t>
        </is>
      </c>
      <c r="D46" s="128" t="n">
        <v>46570</v>
      </c>
      <c r="E46" s="128" t="n">
        <v>31</v>
      </c>
      <c r="F46" s="128" t="n">
        <v>31</v>
      </c>
      <c r="G46" s="128" t="n">
        <v>4</v>
      </c>
      <c r="H46" s="128" t="n">
        <v>4</v>
      </c>
      <c r="I46" s="128" t="n">
        <v>1</v>
      </c>
      <c r="J46" s="128" t="n">
        <v>22</v>
      </c>
      <c r="K46" s="128" t="n">
        <v>31</v>
      </c>
      <c r="L46" s="128" t="n">
        <v>0</v>
      </c>
      <c r="M46" s="128" t="n">
        <v>0</v>
      </c>
      <c r="N46" s="128" t="n">
        <v>31</v>
      </c>
      <c r="O46" s="128" t="n">
        <v>46570</v>
      </c>
      <c r="P46" s="128" t="n">
        <v>750</v>
      </c>
      <c r="Q46" s="128" t="n">
        <v>0</v>
      </c>
      <c r="R46" s="128" t="n">
        <v>0</v>
      </c>
      <c r="S46" s="128" t="n">
        <v>47320</v>
      </c>
      <c r="T46" s="128" t="n">
        <v>4258.8</v>
      </c>
      <c r="U46" s="128" t="n">
        <v>4258.8</v>
      </c>
      <c r="V46" s="128" t="n">
        <v>55837.6</v>
      </c>
      <c r="W46" s="127" t="n">
        <v/>
      </c>
    </row>
    <row r="47">
      <c r="A47" s="127" t="inlineStr">
        <is>
          <t>Anil Agarwal</t>
        </is>
      </c>
      <c r="B47" s="127" t="inlineStr">
        <is>
          <t>JB-10223</t>
        </is>
      </c>
      <c r="C47" s="127" t="inlineStr">
        <is>
          <t>PRIYANKA ANKUSH BHOSALE</t>
        </is>
      </c>
      <c r="D47" s="128" t="n">
        <v>28600</v>
      </c>
      <c r="E47" s="128" t="n">
        <v>31</v>
      </c>
      <c r="F47" s="128" t="n">
        <v>31</v>
      </c>
      <c r="G47" s="128" t="n">
        <v>4</v>
      </c>
      <c r="H47" s="128" t="n">
        <v>4</v>
      </c>
      <c r="I47" s="128" t="n">
        <v>1</v>
      </c>
      <c r="J47" s="128" t="n">
        <v>21</v>
      </c>
      <c r="K47" s="128" t="n">
        <v>30</v>
      </c>
      <c r="L47" s="128" t="n">
        <v>0</v>
      </c>
      <c r="M47" s="128" t="n">
        <v>1</v>
      </c>
      <c r="N47" s="128" t="n">
        <v>31</v>
      </c>
      <c r="O47" s="128" t="n">
        <v>28600</v>
      </c>
      <c r="P47" s="128" t="n">
        <v>750</v>
      </c>
      <c r="Q47" s="128" t="n">
        <v>0</v>
      </c>
      <c r="R47" s="128" t="n">
        <v>0</v>
      </c>
      <c r="S47" s="128" t="n">
        <v>29350</v>
      </c>
      <c r="T47" s="128" t="n">
        <v>2641.5</v>
      </c>
      <c r="U47" s="128" t="n">
        <v>2641.5</v>
      </c>
      <c r="V47" s="128" t="n">
        <v>34633</v>
      </c>
      <c r="W47" s="127" t="n">
        <v/>
      </c>
    </row>
    <row r="48">
      <c r="A48" s="127" t="inlineStr">
        <is>
          <t>Anil Agarwal</t>
        </is>
      </c>
      <c r="B48" s="127" t="inlineStr">
        <is>
          <t>JB-10110</t>
        </is>
      </c>
      <c r="C48" s="127" t="inlineStr">
        <is>
          <t>RAHUL SOPAN MAHTRE</t>
        </is>
      </c>
      <c r="D48" s="128" t="n">
        <v>32099</v>
      </c>
      <c r="E48" s="128" t="n">
        <v>31</v>
      </c>
      <c r="F48" s="128" t="n">
        <v>31</v>
      </c>
      <c r="G48" s="128" t="n">
        <v>4</v>
      </c>
      <c r="H48" s="128" t="n">
        <v>4</v>
      </c>
      <c r="I48" s="128" t="n">
        <v>1</v>
      </c>
      <c r="J48" s="128" t="n">
        <v>22</v>
      </c>
      <c r="K48" s="128" t="n">
        <v>31</v>
      </c>
      <c r="L48" s="128" t="n">
        <v>0</v>
      </c>
      <c r="M48" s="128" t="n">
        <v>0</v>
      </c>
      <c r="N48" s="128" t="n">
        <v>31</v>
      </c>
      <c r="O48" s="128" t="n">
        <v>32099</v>
      </c>
      <c r="P48" s="128" t="n">
        <v>750</v>
      </c>
      <c r="Q48" s="128" t="n">
        <v>0</v>
      </c>
      <c r="R48" s="128" t="n">
        <v>0</v>
      </c>
      <c r="S48" s="128" t="n">
        <v>32849</v>
      </c>
      <c r="T48" s="128" t="n">
        <v>2956.41</v>
      </c>
      <c r="U48" s="128" t="n">
        <v>2956.41</v>
      </c>
      <c r="V48" s="128" t="n">
        <v>38761.82</v>
      </c>
      <c r="W48" s="127" t="n">
        <v/>
      </c>
    </row>
    <row r="49">
      <c r="A49" s="127" t="inlineStr">
        <is>
          <t>Anil Agarwal</t>
        </is>
      </c>
      <c r="B49" s="127" t="inlineStr">
        <is>
          <t>JB-10030</t>
        </is>
      </c>
      <c r="C49" s="127" t="inlineStr">
        <is>
          <t>RITESH SHAILESH CHAURASIYA</t>
        </is>
      </c>
      <c r="D49" s="128" t="n">
        <v>47187</v>
      </c>
      <c r="E49" s="128" t="n">
        <v>31</v>
      </c>
      <c r="F49" s="128" t="n">
        <v>31</v>
      </c>
      <c r="G49" s="128" t="n">
        <v>4</v>
      </c>
      <c r="H49" s="128" t="n">
        <v>4</v>
      </c>
      <c r="I49" s="128" t="n">
        <v>1</v>
      </c>
      <c r="J49" s="128" t="n">
        <v>22</v>
      </c>
      <c r="K49" s="128" t="n">
        <v>31</v>
      </c>
      <c r="L49" s="128" t="n">
        <v>0</v>
      </c>
      <c r="M49" s="128" t="n">
        <v>0</v>
      </c>
      <c r="N49" s="128" t="n">
        <v>31</v>
      </c>
      <c r="O49" s="128" t="n">
        <v>47187</v>
      </c>
      <c r="P49" s="128" t="n">
        <v>750</v>
      </c>
      <c r="Q49" s="128" t="n">
        <v>0</v>
      </c>
      <c r="R49" s="128" t="n">
        <v>0</v>
      </c>
      <c r="S49" s="128" t="n">
        <v>47937</v>
      </c>
      <c r="T49" s="128" t="n">
        <v>4314.33</v>
      </c>
      <c r="U49" s="128" t="n">
        <v>4314.33</v>
      </c>
      <c r="V49" s="128" t="n">
        <v>56565.66</v>
      </c>
      <c r="W49" s="127" t="n">
        <v/>
      </c>
    </row>
    <row r="50">
      <c r="A50" s="127" t="inlineStr">
        <is>
          <t>Anil Agarwal</t>
        </is>
      </c>
      <c r="B50" s="127" t="inlineStr">
        <is>
          <t>JB-10236</t>
        </is>
      </c>
      <c r="C50" s="127" t="inlineStr">
        <is>
          <t>RUPESH SURESH YADAV</t>
        </is>
      </c>
      <c r="D50" s="128" t="n">
        <v>39100</v>
      </c>
      <c r="E50" s="128" t="n">
        <v>31</v>
      </c>
      <c r="F50" s="128" t="n">
        <v>31</v>
      </c>
      <c r="G50" s="128" t="n">
        <v>4</v>
      </c>
      <c r="H50" s="128" t="n">
        <v>4</v>
      </c>
      <c r="I50" s="128" t="n">
        <v>1</v>
      </c>
      <c r="J50" s="128" t="n">
        <v>21</v>
      </c>
      <c r="K50" s="128" t="n">
        <v>30</v>
      </c>
      <c r="L50" s="128" t="n">
        <v>0</v>
      </c>
      <c r="M50" s="128" t="n">
        <v>1</v>
      </c>
      <c r="N50" s="128" t="n">
        <v>31</v>
      </c>
      <c r="O50" s="128" t="n">
        <v>39100</v>
      </c>
      <c r="P50" s="128" t="n">
        <v>750</v>
      </c>
      <c r="Q50" s="128" t="n">
        <v>0</v>
      </c>
      <c r="R50" s="128" t="n">
        <v>0</v>
      </c>
      <c r="S50" s="128" t="n">
        <v>39850</v>
      </c>
      <c r="T50" s="128" t="n">
        <v>3586.5</v>
      </c>
      <c r="U50" s="128" t="n">
        <v>3586.5</v>
      </c>
      <c r="V50" s="128" t="n">
        <v>47023</v>
      </c>
      <c r="W50" s="127" t="n">
        <v/>
      </c>
    </row>
    <row r="51">
      <c r="A51" s="127" t="inlineStr">
        <is>
          <t>Anil Agarwal</t>
        </is>
      </c>
      <c r="B51" s="127" t="inlineStr">
        <is>
          <t>JB-10125</t>
        </is>
      </c>
      <c r="C51" s="127" t="inlineStr">
        <is>
          <t>SACHIN MAHADEV ALHAT</t>
        </is>
      </c>
      <c r="D51" s="128" t="n">
        <v>30570</v>
      </c>
      <c r="E51" s="128" t="n">
        <v>31</v>
      </c>
      <c r="F51" s="128" t="n">
        <v>31</v>
      </c>
      <c r="G51" s="128" t="n">
        <v>4</v>
      </c>
      <c r="H51" s="128" t="n">
        <v>4</v>
      </c>
      <c r="I51" s="128" t="n">
        <v>1</v>
      </c>
      <c r="J51" s="128" t="n">
        <v>21</v>
      </c>
      <c r="K51" s="128" t="n">
        <v>30</v>
      </c>
      <c r="L51" s="128" t="n">
        <v>0</v>
      </c>
      <c r="M51" s="128" t="n">
        <v>1</v>
      </c>
      <c r="N51" s="128" t="n">
        <v>31</v>
      </c>
      <c r="O51" s="128" t="n">
        <v>30570</v>
      </c>
      <c r="P51" s="128" t="n">
        <v>750</v>
      </c>
      <c r="Q51" s="128" t="n">
        <v>0</v>
      </c>
      <c r="R51" s="128" t="n">
        <v>0</v>
      </c>
      <c r="S51" s="128" t="n">
        <v>31320</v>
      </c>
      <c r="T51" s="128" t="n">
        <v>2818.8</v>
      </c>
      <c r="U51" s="128" t="n">
        <v>2818.8</v>
      </c>
      <c r="V51" s="128" t="n">
        <v>36957.6</v>
      </c>
      <c r="W51" s="127" t="n">
        <v/>
      </c>
    </row>
    <row r="52">
      <c r="A52" s="127" t="inlineStr">
        <is>
          <t>Anil Agarwal</t>
        </is>
      </c>
      <c r="B52" s="127" t="inlineStr">
        <is>
          <t>JB-10266</t>
        </is>
      </c>
      <c r="C52" s="127" t="inlineStr">
        <is>
          <t>SANIKA SANJAY DIVEKAR</t>
        </is>
      </c>
      <c r="D52" s="128" t="n">
        <v>25100</v>
      </c>
      <c r="E52" s="128" t="n">
        <v>31</v>
      </c>
      <c r="F52" s="128" t="n">
        <v>31</v>
      </c>
      <c r="G52" s="128" t="n">
        <v>4</v>
      </c>
      <c r="H52" s="128" t="n">
        <v>4</v>
      </c>
      <c r="I52" s="128" t="n">
        <v>1</v>
      </c>
      <c r="J52" s="128" t="n">
        <v>16</v>
      </c>
      <c r="K52" s="128" t="n">
        <v>25</v>
      </c>
      <c r="L52" s="128" t="n">
        <v>0</v>
      </c>
      <c r="M52" s="128" t="n">
        <v>6</v>
      </c>
      <c r="N52" s="128" t="n">
        <v>31</v>
      </c>
      <c r="O52" s="128" t="n">
        <v>25100</v>
      </c>
      <c r="P52" s="128" t="n">
        <v>750</v>
      </c>
      <c r="Q52" s="128" t="n">
        <v>0</v>
      </c>
      <c r="R52" s="128" t="n">
        <v>0</v>
      </c>
      <c r="S52" s="128" t="n">
        <v>25850</v>
      </c>
      <c r="T52" s="128" t="n">
        <v>2326.5</v>
      </c>
      <c r="U52" s="128" t="n">
        <v>2326.5</v>
      </c>
      <c r="V52" s="128" t="n">
        <v>30503</v>
      </c>
      <c r="W52" s="127" t="n">
        <v/>
      </c>
    </row>
    <row r="53">
      <c r="A53" s="127" t="inlineStr">
        <is>
          <t>Anil Agarwal</t>
        </is>
      </c>
      <c r="B53" s="127" t="inlineStr">
        <is>
          <t>JB-10201</t>
        </is>
      </c>
      <c r="C53" s="127" t="inlineStr">
        <is>
          <t>SHARIF ABDUL REHMAN</t>
        </is>
      </c>
      <c r="D53" s="128" t="n">
        <v>137520</v>
      </c>
      <c r="E53" s="128" t="n">
        <v>31</v>
      </c>
      <c r="F53" s="128" t="n">
        <v>31</v>
      </c>
      <c r="G53" s="128" t="n">
        <v>4</v>
      </c>
      <c r="H53" s="128" t="n">
        <v>4</v>
      </c>
      <c r="I53" s="128" t="n">
        <v>1</v>
      </c>
      <c r="J53" s="128" t="n">
        <v>22</v>
      </c>
      <c r="K53" s="128" t="n">
        <v>31</v>
      </c>
      <c r="L53" s="128" t="n">
        <v>0</v>
      </c>
      <c r="M53" s="128" t="n">
        <v>0</v>
      </c>
      <c r="N53" s="128" t="n">
        <v>31</v>
      </c>
      <c r="O53" s="128" t="n">
        <v>137520</v>
      </c>
      <c r="P53" s="128" t="n">
        <v>750</v>
      </c>
      <c r="Q53" s="128" t="n">
        <v>0</v>
      </c>
      <c r="R53" s="128" t="n">
        <v>0</v>
      </c>
      <c r="S53" s="128" t="n">
        <v>138270</v>
      </c>
      <c r="T53" s="128" t="n">
        <v>12444.3</v>
      </c>
      <c r="U53" s="128" t="n">
        <v>12444.3</v>
      </c>
      <c r="V53" s="128" t="n">
        <v>163158.6</v>
      </c>
      <c r="W53" s="127" t="n">
        <v/>
      </c>
    </row>
    <row r="54">
      <c r="A54" s="127" t="inlineStr">
        <is>
          <t>Anil Agarwal</t>
        </is>
      </c>
      <c r="B54" s="127" t="inlineStr">
        <is>
          <t>JB-10282</t>
        </is>
      </c>
      <c r="C54" s="127" t="inlineStr">
        <is>
          <t>SHRADDHA RAJARAM CHAVAN</t>
        </is>
      </c>
      <c r="D54" s="128" t="n">
        <v>44117</v>
      </c>
      <c r="E54" s="128" t="n">
        <v>31</v>
      </c>
      <c r="F54" s="128" t="n">
        <v>19</v>
      </c>
      <c r="G54" s="128" t="n">
        <v>2</v>
      </c>
      <c r="H54" s="128" t="n">
        <v>2</v>
      </c>
      <c r="I54" s="128" t="n">
        <v>0</v>
      </c>
      <c r="J54" s="128" t="n">
        <v>14</v>
      </c>
      <c r="K54" s="128" t="n">
        <v>18</v>
      </c>
      <c r="L54" s="128" t="n">
        <v>0</v>
      </c>
      <c r="M54" s="128" t="n">
        <v>1</v>
      </c>
      <c r="N54" s="128" t="n">
        <v>19</v>
      </c>
      <c r="O54" s="128" t="n">
        <v>27039.45</v>
      </c>
      <c r="P54" s="128" t="n">
        <v>750</v>
      </c>
      <c r="Q54" s="128" t="n">
        <v>0</v>
      </c>
      <c r="R54" s="128" t="n">
        <v>0</v>
      </c>
      <c r="S54" s="128" t="n">
        <v>27789.45</v>
      </c>
      <c r="T54" s="128" t="n">
        <v>2501.05</v>
      </c>
      <c r="U54" s="128" t="n">
        <v>2501.05</v>
      </c>
      <c r="V54" s="128" t="n">
        <v>32791.55</v>
      </c>
      <c r="W54" s="127" t="inlineStr">
        <is>
          <t>New Joiner</t>
        </is>
      </c>
    </row>
    <row r="55">
      <c r="A55" s="127" t="inlineStr">
        <is>
          <t>Anil Agarwal</t>
        </is>
      </c>
      <c r="B55" s="127" t="inlineStr">
        <is>
          <t>JB-10153</t>
        </is>
      </c>
      <c r="C55" s="127" t="inlineStr">
        <is>
          <t>SIMRAN MINDA</t>
        </is>
      </c>
      <c r="D55" s="128" t="n">
        <v>28800</v>
      </c>
      <c r="E55" s="128" t="n">
        <v>31</v>
      </c>
      <c r="F55" s="128" t="n">
        <v>31</v>
      </c>
      <c r="G55" s="128" t="n">
        <v>4</v>
      </c>
      <c r="H55" s="128" t="n">
        <v>4</v>
      </c>
      <c r="I55" s="128" t="n">
        <v>1</v>
      </c>
      <c r="J55" s="128" t="n">
        <v>22</v>
      </c>
      <c r="K55" s="128" t="n">
        <v>31</v>
      </c>
      <c r="L55" s="128" t="n">
        <v>0</v>
      </c>
      <c r="M55" s="128" t="n">
        <v>0</v>
      </c>
      <c r="N55" s="128" t="n">
        <v>31</v>
      </c>
      <c r="O55" s="128" t="n">
        <v>28800</v>
      </c>
      <c r="P55" s="128" t="n">
        <v>750</v>
      </c>
      <c r="Q55" s="128" t="n">
        <v>0</v>
      </c>
      <c r="R55" s="128" t="n">
        <v>0</v>
      </c>
      <c r="S55" s="128" t="n">
        <v>29550</v>
      </c>
      <c r="T55" s="128" t="n">
        <v>2659.5</v>
      </c>
      <c r="U55" s="128" t="n">
        <v>2659.5</v>
      </c>
      <c r="V55" s="128" t="n">
        <v>34869</v>
      </c>
      <c r="W55" s="127" t="n">
        <v/>
      </c>
    </row>
    <row r="56">
      <c r="A56" s="127" t="inlineStr">
        <is>
          <t>Anil Agarwal</t>
        </is>
      </c>
      <c r="B56" s="127" t="inlineStr">
        <is>
          <t>JB-10249</t>
        </is>
      </c>
      <c r="C56" s="127" t="inlineStr">
        <is>
          <t>SNEHAL ZOPE</t>
        </is>
      </c>
      <c r="D56" s="128" t="n">
        <v>75000</v>
      </c>
      <c r="E56" s="128" t="n">
        <v>31</v>
      </c>
      <c r="F56" s="128" t="n">
        <v>31</v>
      </c>
      <c r="G56" s="128" t="n">
        <v>4</v>
      </c>
      <c r="H56" s="128" t="n">
        <v>4</v>
      </c>
      <c r="I56" s="128" t="n">
        <v>1</v>
      </c>
      <c r="J56" s="128" t="n">
        <v>21</v>
      </c>
      <c r="K56" s="128" t="n">
        <v>30</v>
      </c>
      <c r="L56" s="128" t="n">
        <v>0</v>
      </c>
      <c r="M56" s="128" t="n">
        <v>1</v>
      </c>
      <c r="N56" s="128" t="n">
        <v>31</v>
      </c>
      <c r="O56" s="128" t="n">
        <v>75000</v>
      </c>
      <c r="P56" s="128" t="n">
        <v>750</v>
      </c>
      <c r="Q56" s="128" t="n">
        <v>0</v>
      </c>
      <c r="R56" s="128" t="n">
        <v>0</v>
      </c>
      <c r="S56" s="128" t="n">
        <v>75750</v>
      </c>
      <c r="T56" s="128" t="n">
        <v>6817.5</v>
      </c>
      <c r="U56" s="128" t="n">
        <v>6817.5</v>
      </c>
      <c r="V56" s="128" t="n">
        <v>89385</v>
      </c>
      <c r="W56" s="127" t="n">
        <v/>
      </c>
    </row>
    <row r="57">
      <c r="A57" s="127" t="inlineStr">
        <is>
          <t>Anil Agarwal</t>
        </is>
      </c>
      <c r="B57" s="127" t="inlineStr">
        <is>
          <t>JB-10004</t>
        </is>
      </c>
      <c r="C57" s="127" t="inlineStr">
        <is>
          <t>SOMNATH KALU GHORPADE</t>
        </is>
      </c>
      <c r="D57" s="128" t="n">
        <v>43313</v>
      </c>
      <c r="E57" s="128" t="n">
        <v>31</v>
      </c>
      <c r="F57" s="128" t="n">
        <v>31</v>
      </c>
      <c r="G57" s="128" t="n">
        <v>4</v>
      </c>
      <c r="H57" s="128" t="n">
        <v>4</v>
      </c>
      <c r="I57" s="128" t="n">
        <v>1</v>
      </c>
      <c r="J57" s="128" t="n">
        <v>17</v>
      </c>
      <c r="K57" s="128" t="n">
        <v>26</v>
      </c>
      <c r="L57" s="128" t="n">
        <v>0</v>
      </c>
      <c r="M57" s="128" t="n">
        <v>5</v>
      </c>
      <c r="N57" s="128" t="n">
        <v>31</v>
      </c>
      <c r="O57" s="128" t="n">
        <v>43313</v>
      </c>
      <c r="P57" s="128" t="n">
        <v>750</v>
      </c>
      <c r="Q57" s="128" t="n">
        <v>0</v>
      </c>
      <c r="R57" s="128" t="n">
        <v>0</v>
      </c>
      <c r="S57" s="128" t="n">
        <v>44063</v>
      </c>
      <c r="T57" s="128" t="n">
        <v>3965.67</v>
      </c>
      <c r="U57" s="128" t="n">
        <v>3965.67</v>
      </c>
      <c r="V57" s="128" t="n">
        <v>51994.34</v>
      </c>
      <c r="W57" s="127" t="n">
        <v/>
      </c>
    </row>
    <row r="58">
      <c r="A58" s="127" t="inlineStr">
        <is>
          <t>Anil Agarwal</t>
        </is>
      </c>
      <c r="B58" s="127" t="inlineStr">
        <is>
          <t>JB-10147</t>
        </is>
      </c>
      <c r="C58" s="127" t="inlineStr">
        <is>
          <t>SONAL KONDIRAM PARTE</t>
        </is>
      </c>
      <c r="D58" s="128" t="n">
        <v>28608</v>
      </c>
      <c r="E58" s="128" t="n">
        <v>31</v>
      </c>
      <c r="F58" s="128" t="n">
        <v>22</v>
      </c>
      <c r="G58" s="128" t="n">
        <v>3</v>
      </c>
      <c r="H58" s="128" t="n">
        <v>3</v>
      </c>
      <c r="I58" s="128" t="n">
        <v>1</v>
      </c>
      <c r="J58" s="128" t="n">
        <v>15</v>
      </c>
      <c r="K58" s="128" t="n">
        <v>22</v>
      </c>
      <c r="L58" s="128" t="n">
        <v>0</v>
      </c>
      <c r="M58" s="128" t="n">
        <v>0</v>
      </c>
      <c r="N58" s="128" t="n">
        <v>22</v>
      </c>
      <c r="O58" s="128" t="n">
        <v>20302.45</v>
      </c>
      <c r="P58" s="128" t="n">
        <v>750</v>
      </c>
      <c r="Q58" s="128" t="n">
        <v>0</v>
      </c>
      <c r="R58" s="128" t="n">
        <v>0</v>
      </c>
      <c r="S58" s="128" t="n">
        <v>21052.45</v>
      </c>
      <c r="T58" s="128" t="n">
        <v>1894.72</v>
      </c>
      <c r="U58" s="128" t="n">
        <v>1894.72</v>
      </c>
      <c r="V58" s="128" t="n">
        <v>24841.89</v>
      </c>
      <c r="W58" s="127" t="inlineStr">
        <is>
          <t>Maternity Leave since 12.02,2026</t>
        </is>
      </c>
    </row>
    <row r="59">
      <c r="A59" s="127" t="inlineStr">
        <is>
          <t>Anil Agarwal</t>
        </is>
      </c>
      <c r="B59" s="127" t="inlineStr">
        <is>
          <t>JB-10181</t>
        </is>
      </c>
      <c r="C59" s="127" t="inlineStr">
        <is>
          <t>SONU RATILAL LAKHARA</t>
        </is>
      </c>
      <c r="D59" s="128" t="n">
        <v>83334</v>
      </c>
      <c r="E59" s="128" t="n">
        <v>31</v>
      </c>
      <c r="F59" s="128" t="n">
        <v>31</v>
      </c>
      <c r="G59" s="128" t="n">
        <v>4</v>
      </c>
      <c r="H59" s="128" t="n">
        <v>4</v>
      </c>
      <c r="I59" s="128" t="n">
        <v>1</v>
      </c>
      <c r="J59" s="128" t="n">
        <v>21</v>
      </c>
      <c r="K59" s="128" t="n">
        <v>30</v>
      </c>
      <c r="L59" s="128" t="n">
        <v>0</v>
      </c>
      <c r="M59" s="128" t="n">
        <v>1</v>
      </c>
      <c r="N59" s="128" t="n">
        <v>31</v>
      </c>
      <c r="O59" s="128" t="n">
        <v>83334</v>
      </c>
      <c r="P59" s="128" t="n">
        <v>750</v>
      </c>
      <c r="Q59" s="128" t="n">
        <v>0</v>
      </c>
      <c r="R59" s="128" t="n">
        <v>0</v>
      </c>
      <c r="S59" s="128" t="n">
        <v>84084</v>
      </c>
      <c r="T59" s="128" t="n">
        <v>7567.56</v>
      </c>
      <c r="U59" s="128" t="n">
        <v>7567.56</v>
      </c>
      <c r="V59" s="128" t="n">
        <v>99219.12</v>
      </c>
      <c r="W59" s="127" t="n">
        <v/>
      </c>
    </row>
    <row r="60">
      <c r="A60" s="127" t="inlineStr">
        <is>
          <t>Anil Agarwal</t>
        </is>
      </c>
      <c r="B60" s="127" t="inlineStr">
        <is>
          <t>JB-10146</t>
        </is>
      </c>
      <c r="C60" s="127" t="inlineStr">
        <is>
          <t>SUJAL SANTOSH ZAGADE</t>
        </is>
      </c>
      <c r="D60" s="128" t="n">
        <v>28800</v>
      </c>
      <c r="E60" s="128" t="n">
        <v>31</v>
      </c>
      <c r="F60" s="128" t="n">
        <v>31</v>
      </c>
      <c r="G60" s="128" t="n">
        <v>4</v>
      </c>
      <c r="H60" s="128" t="n">
        <v>4</v>
      </c>
      <c r="I60" s="128" t="n">
        <v>1</v>
      </c>
      <c r="J60" s="128" t="n">
        <v>22</v>
      </c>
      <c r="K60" s="128" t="n">
        <v>31</v>
      </c>
      <c r="L60" s="128" t="n">
        <v>0</v>
      </c>
      <c r="M60" s="128" t="n">
        <v>0</v>
      </c>
      <c r="N60" s="128" t="n">
        <v>31</v>
      </c>
      <c r="O60" s="128" t="n">
        <v>28800</v>
      </c>
      <c r="P60" s="128" t="n">
        <v>750</v>
      </c>
      <c r="Q60" s="128" t="n">
        <v>0</v>
      </c>
      <c r="R60" s="128" t="n">
        <v>0</v>
      </c>
      <c r="S60" s="128" t="n">
        <v>29550</v>
      </c>
      <c r="T60" s="128" t="n">
        <v>2659.5</v>
      </c>
      <c r="U60" s="128" t="n">
        <v>2659.5</v>
      </c>
      <c r="V60" s="128" t="n">
        <v>34869</v>
      </c>
      <c r="W60" s="127" t="inlineStr">
        <is>
          <t>Check Attendance</t>
        </is>
      </c>
    </row>
    <row r="61">
      <c r="A61" s="127" t="inlineStr">
        <is>
          <t>Anil Agarwal</t>
        </is>
      </c>
      <c r="B61" s="127" t="inlineStr">
        <is>
          <t>JB-10068</t>
        </is>
      </c>
      <c r="C61" s="127" t="inlineStr">
        <is>
          <t>SUMIT PRABHAKAR DETHE</t>
        </is>
      </c>
      <c r="D61" s="128" t="n">
        <v>26441</v>
      </c>
      <c r="E61" s="128" t="n">
        <v>31</v>
      </c>
      <c r="F61" s="128" t="n">
        <v>31</v>
      </c>
      <c r="G61" s="128" t="n">
        <v>4</v>
      </c>
      <c r="H61" s="128" t="n">
        <v>4</v>
      </c>
      <c r="I61" s="128" t="n">
        <v>1</v>
      </c>
      <c r="J61" s="128" t="n">
        <v>20</v>
      </c>
      <c r="K61" s="128" t="n">
        <v>29</v>
      </c>
      <c r="L61" s="128" t="n">
        <v>0</v>
      </c>
      <c r="M61" s="128" t="n">
        <v>2</v>
      </c>
      <c r="N61" s="128" t="n">
        <v>31</v>
      </c>
      <c r="O61" s="128" t="n">
        <v>26441</v>
      </c>
      <c r="P61" s="128" t="n">
        <v>750</v>
      </c>
      <c r="Q61" s="128" t="n">
        <v>8483</v>
      </c>
      <c r="R61" s="128" t="n">
        <v>0</v>
      </c>
      <c r="S61" s="128" t="n">
        <v>35674</v>
      </c>
      <c r="T61" s="128" t="n">
        <v>3210.66</v>
      </c>
      <c r="U61" s="128" t="n">
        <v>3210.66</v>
      </c>
      <c r="V61" s="128" t="n">
        <v>42095.32</v>
      </c>
      <c r="W61" s="127" t="inlineStr">
        <is>
          <t>Voucher for Two Months 8483/-</t>
        </is>
      </c>
    </row>
    <row r="62">
      <c r="A62" s="127" t="inlineStr">
        <is>
          <t>Anil Agarwal</t>
        </is>
      </c>
      <c r="B62" s="127" t="inlineStr">
        <is>
          <t>JB-10041</t>
        </is>
      </c>
      <c r="C62" s="127" t="inlineStr">
        <is>
          <t>SUMIT SUDAM SHINDE</t>
        </is>
      </c>
      <c r="D62" s="128" t="n">
        <v>22890</v>
      </c>
      <c r="E62" s="128" t="n">
        <v>31</v>
      </c>
      <c r="F62" s="128" t="n">
        <v>31</v>
      </c>
      <c r="G62" s="128" t="n">
        <v>4</v>
      </c>
      <c r="H62" s="128" t="n">
        <v>4</v>
      </c>
      <c r="I62" s="128" t="n">
        <v>1</v>
      </c>
      <c r="J62" s="128" t="n">
        <v>22</v>
      </c>
      <c r="K62" s="128" t="n">
        <v>31</v>
      </c>
      <c r="L62" s="128" t="n">
        <v>0</v>
      </c>
      <c r="M62" s="128" t="n">
        <v>0</v>
      </c>
      <c r="N62" s="128" t="n">
        <v>31</v>
      </c>
      <c r="O62" s="128" t="n">
        <v>22890</v>
      </c>
      <c r="P62" s="128" t="n">
        <v>750</v>
      </c>
      <c r="Q62" s="128" t="n">
        <v>4171</v>
      </c>
      <c r="R62" s="128" t="n">
        <v>0</v>
      </c>
      <c r="S62" s="128" t="n">
        <v>27811</v>
      </c>
      <c r="T62" s="128" t="n">
        <v>2502.99</v>
      </c>
      <c r="U62" s="128" t="n">
        <v>2502.99</v>
      </c>
      <c r="V62" s="128" t="n">
        <v>32816.98</v>
      </c>
      <c r="W62" s="127" t="n">
        <v/>
      </c>
    </row>
    <row r="63">
      <c r="A63" s="127" t="inlineStr">
        <is>
          <t>Anil Agarwal</t>
        </is>
      </c>
      <c r="B63" s="127" t="inlineStr">
        <is>
          <t>JB-10173</t>
        </is>
      </c>
      <c r="C63" s="127" t="inlineStr">
        <is>
          <t>Suraj Anant Kadam</t>
        </is>
      </c>
      <c r="D63" s="128" t="n">
        <v>35800</v>
      </c>
      <c r="E63" s="128" t="n">
        <v>31</v>
      </c>
      <c r="F63" s="128" t="n">
        <v>31</v>
      </c>
      <c r="G63" s="128" t="n">
        <v>4</v>
      </c>
      <c r="H63" s="128" t="n">
        <v>4</v>
      </c>
      <c r="I63" s="128" t="n">
        <v>1</v>
      </c>
      <c r="J63" s="128" t="n">
        <v>21</v>
      </c>
      <c r="K63" s="128" t="n">
        <v>30</v>
      </c>
      <c r="L63" s="128" t="n">
        <v>0</v>
      </c>
      <c r="M63" s="128" t="n">
        <v>1</v>
      </c>
      <c r="N63" s="128" t="n">
        <v>31</v>
      </c>
      <c r="O63" s="128" t="n">
        <v>35800</v>
      </c>
      <c r="P63" s="128" t="n">
        <v>750</v>
      </c>
      <c r="Q63" s="128" t="n">
        <v>0</v>
      </c>
      <c r="R63" s="128" t="n">
        <v>0</v>
      </c>
      <c r="S63" s="128" t="n">
        <v>36550</v>
      </c>
      <c r="T63" s="128" t="n">
        <v>3289.5</v>
      </c>
      <c r="U63" s="128" t="n">
        <v>3289.5</v>
      </c>
      <c r="V63" s="128" t="n">
        <v>43129</v>
      </c>
      <c r="W63" s="127" t="n">
        <v/>
      </c>
    </row>
    <row r="64">
      <c r="A64" s="127" t="inlineStr">
        <is>
          <t>Anil Agarwal</t>
        </is>
      </c>
      <c r="B64" s="127" t="inlineStr">
        <is>
          <t>JB-10279</t>
        </is>
      </c>
      <c r="C64" s="127" t="inlineStr">
        <is>
          <t>VARAD VILAS PRABHUDESAI</t>
        </is>
      </c>
      <c r="D64" s="128" t="n">
        <v>87500</v>
      </c>
      <c r="E64" s="128" t="n">
        <v>31</v>
      </c>
      <c r="F64" s="128" t="n">
        <v>29</v>
      </c>
      <c r="G64" s="128" t="n">
        <v>4</v>
      </c>
      <c r="H64" s="128" t="n">
        <v>4</v>
      </c>
      <c r="I64" s="128" t="n">
        <v>1</v>
      </c>
      <c r="J64" s="128" t="n">
        <v>20</v>
      </c>
      <c r="K64" s="128" t="n">
        <v>29</v>
      </c>
      <c r="L64" s="128" t="n">
        <v>0</v>
      </c>
      <c r="M64" s="128" t="n">
        <v>0</v>
      </c>
      <c r="N64" s="128" t="n">
        <v>29</v>
      </c>
      <c r="O64" s="128" t="n">
        <v>81854.84</v>
      </c>
      <c r="P64" s="128" t="n">
        <v>750</v>
      </c>
      <c r="Q64" s="128" t="n">
        <v>0</v>
      </c>
      <c r="R64" s="128" t="n">
        <v>0</v>
      </c>
      <c r="S64" s="128" t="n">
        <v>82604.84</v>
      </c>
      <c r="T64" s="128" t="n">
        <v>7434.44</v>
      </c>
      <c r="U64" s="128" t="n">
        <v>7434.44</v>
      </c>
      <c r="V64" s="128" t="n">
        <v>97473.71000000001</v>
      </c>
      <c r="W64" s="127" t="inlineStr">
        <is>
          <t>New Joiner</t>
        </is>
      </c>
    </row>
    <row r="65">
      <c r="A65" s="127" t="inlineStr">
        <is>
          <t>Anil Agarwal</t>
        </is>
      </c>
      <c r="B65" s="127" t="inlineStr">
        <is>
          <t>JB-10238</t>
        </is>
      </c>
      <c r="C65" s="127" t="inlineStr">
        <is>
          <t>VIBHAVARI MAHESH JAMDAR</t>
        </is>
      </c>
      <c r="D65" s="128" t="n">
        <v>112500</v>
      </c>
      <c r="E65" s="128" t="n">
        <v>31</v>
      </c>
      <c r="F65" s="128" t="n">
        <v>31</v>
      </c>
      <c r="G65" s="128" t="n">
        <v>4</v>
      </c>
      <c r="H65" s="128" t="n">
        <v>4</v>
      </c>
      <c r="I65" s="128" t="n">
        <v>1</v>
      </c>
      <c r="J65" s="128" t="n">
        <v>20</v>
      </c>
      <c r="K65" s="128" t="n">
        <v>29</v>
      </c>
      <c r="L65" s="128" t="n">
        <v>0</v>
      </c>
      <c r="M65" s="128" t="n">
        <v>2</v>
      </c>
      <c r="N65" s="128" t="n">
        <v>31</v>
      </c>
      <c r="O65" s="128" t="n">
        <v>112500</v>
      </c>
      <c r="P65" s="128" t="n">
        <v>750</v>
      </c>
      <c r="Q65" s="128" t="n">
        <v>0</v>
      </c>
      <c r="R65" s="128" t="n">
        <v>0</v>
      </c>
      <c r="S65" s="128" t="n">
        <v>113250</v>
      </c>
      <c r="T65" s="128" t="n">
        <v>10192.5</v>
      </c>
      <c r="U65" s="128" t="n">
        <v>10192.5</v>
      </c>
      <c r="V65" s="128" t="n">
        <v>133635</v>
      </c>
      <c r="W65" s="127" t="n">
        <v/>
      </c>
    </row>
    <row r="66">
      <c r="A66" s="127" t="inlineStr">
        <is>
          <t>Anil Agarwal</t>
        </is>
      </c>
      <c r="B66" s="127" t="inlineStr">
        <is>
          <t>JB-10189</t>
        </is>
      </c>
      <c r="C66" s="127" t="inlineStr">
        <is>
          <t>VIHAR CHANDUBHAI PADSHALA</t>
        </is>
      </c>
      <c r="D66" s="128" t="n">
        <v>137500</v>
      </c>
      <c r="E66" s="128" t="n">
        <v>31</v>
      </c>
      <c r="F66" s="128" t="n">
        <v>31</v>
      </c>
      <c r="G66" s="128" t="n">
        <v>4</v>
      </c>
      <c r="H66" s="128" t="n">
        <v>4</v>
      </c>
      <c r="I66" s="128" t="n">
        <v>1</v>
      </c>
      <c r="J66" s="128" t="n">
        <v>12</v>
      </c>
      <c r="K66" s="128" t="n">
        <v>21</v>
      </c>
      <c r="L66" s="128" t="n">
        <v>0</v>
      </c>
      <c r="M66" s="128" t="n">
        <v>10</v>
      </c>
      <c r="N66" s="128" t="n">
        <v>31</v>
      </c>
      <c r="O66" s="128" t="n">
        <v>137500</v>
      </c>
      <c r="P66" s="128" t="n">
        <v>750</v>
      </c>
      <c r="Q66" s="128" t="n">
        <v>0</v>
      </c>
      <c r="R66" s="128" t="n">
        <v>0</v>
      </c>
      <c r="S66" s="128" t="n">
        <v>138250</v>
      </c>
      <c r="T66" s="128" t="n">
        <v>12442.5</v>
      </c>
      <c r="U66" s="128" t="n">
        <v>12442.5</v>
      </c>
      <c r="V66" s="128" t="n">
        <v>163135</v>
      </c>
      <c r="W66" s="127" t="n">
        <v/>
      </c>
    </row>
    <row r="67">
      <c r="A67" s="127" t="inlineStr">
        <is>
          <t>Anil Agarwal</t>
        </is>
      </c>
      <c r="B67" s="127" t="inlineStr">
        <is>
          <t>JB-10265</t>
        </is>
      </c>
      <c r="C67" s="127" t="inlineStr">
        <is>
          <t>VIKRAM LAXMAN PARTE</t>
        </is>
      </c>
      <c r="D67" s="128" t="n">
        <v>54763</v>
      </c>
      <c r="E67" s="128" t="n">
        <v>31</v>
      </c>
      <c r="F67" s="128" t="n">
        <v>31</v>
      </c>
      <c r="G67" s="128" t="n">
        <v>4</v>
      </c>
      <c r="H67" s="128" t="n">
        <v>4</v>
      </c>
      <c r="I67" s="128" t="n">
        <v>1</v>
      </c>
      <c r="J67" s="128" t="n">
        <v>22</v>
      </c>
      <c r="K67" s="128" t="n">
        <v>31</v>
      </c>
      <c r="L67" s="128" t="n">
        <v>0</v>
      </c>
      <c r="M67" s="128" t="n">
        <v>0</v>
      </c>
      <c r="N67" s="128" t="n">
        <v>31</v>
      </c>
      <c r="O67" s="128" t="n">
        <v>54763</v>
      </c>
      <c r="P67" s="128" t="n">
        <v>750</v>
      </c>
      <c r="Q67" s="128" t="n">
        <v>0</v>
      </c>
      <c r="R67" s="128" t="n">
        <v>0</v>
      </c>
      <c r="S67" s="128" t="n">
        <v>55513</v>
      </c>
      <c r="T67" s="128" t="n">
        <v>4996.17</v>
      </c>
      <c r="U67" s="128" t="n">
        <v>4996.17</v>
      </c>
      <c r="V67" s="128" t="n">
        <v>65505.34</v>
      </c>
      <c r="W67" s="127" t="inlineStr">
        <is>
          <t>Check Attendance</t>
        </is>
      </c>
    </row>
    <row r="68">
      <c r="A68" s="129" t="inlineStr">
        <is>
          <t>TOTAL</t>
        </is>
      </c>
      <c r="B68" s="129" t="n"/>
      <c r="C68" s="129" t="n"/>
      <c r="D68" s="130">
        <f>ROUND(SUM(D2:D67), 0)</f>
        <v/>
      </c>
      <c r="E68" s="130">
        <f>ROUND(SUM(E2:E67), 0)</f>
        <v/>
      </c>
      <c r="F68" s="130">
        <f>ROUND(SUM(F2:F67), 0)</f>
        <v/>
      </c>
      <c r="G68" s="130">
        <f>ROUND(SUM(G2:G67), 0)</f>
        <v/>
      </c>
      <c r="H68" s="130">
        <f>ROUND(SUM(H2:H67), 0)</f>
        <v/>
      </c>
      <c r="I68" s="130">
        <f>ROUND(SUM(I2:I67), 0)</f>
        <v/>
      </c>
      <c r="J68" s="130">
        <f>ROUND(SUM(J2:J67), 0)</f>
        <v/>
      </c>
      <c r="K68" s="130">
        <f>ROUND(SUM(K2:K67), 0)</f>
        <v/>
      </c>
      <c r="L68" s="130">
        <f>ROUND(SUM(L2:L67), 0)</f>
        <v/>
      </c>
      <c r="M68" s="130">
        <f>ROUND(SUM(M2:M67), 0)</f>
        <v/>
      </c>
      <c r="N68" s="130">
        <f>ROUND(SUM(N2:N67), 0)</f>
        <v/>
      </c>
      <c r="O68" s="130">
        <f>ROUND(SUM(O2:O67), 0)</f>
        <v/>
      </c>
      <c r="P68" s="130">
        <f>ROUND(SUM(P2:P67), 0)</f>
        <v/>
      </c>
      <c r="Q68" s="130">
        <f>ROUND(SUM(Q2:Q67), 0)</f>
        <v/>
      </c>
      <c r="R68" s="130">
        <f>ROUND(SUM(R2:R67), 0)</f>
        <v/>
      </c>
      <c r="S68" s="130">
        <f>ROUND(SUM(S2:S67), 0)</f>
        <v/>
      </c>
      <c r="T68" s="130">
        <f>CEILING(SUM(T2:T67), 1)</f>
        <v/>
      </c>
      <c r="U68" s="130">
        <f>CEILING(SUM(U2:U67), 1)</f>
        <v/>
      </c>
      <c r="V68" s="130">
        <f>ROUND(SUM(S68,T68,U68), 0)</f>
        <v/>
      </c>
      <c r="W68" s="129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2025-10-03T11:36:06Z</dcterms:created>
  <dcterms:modified xsi:type="dcterms:W3CDTF">2026-02-28T13:17:55Z</dcterms:modified>
  <cp:lastModifiedBy>Kanishk Maheshwari</cp:lastModifiedBy>
  <cp:lastPrinted>2025-12-24T08:55:28Z</cp:lastPrinted>
</cp:coreProperties>
</file>