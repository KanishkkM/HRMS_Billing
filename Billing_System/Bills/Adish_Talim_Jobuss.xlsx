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ish Talim.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7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0" fillId="0" borderId="1" pivotButton="0" quotePrefix="0" xfId="0"/>
    <xf numFmtId="0" fontId="10" fillId="0" borderId="2" pivotButton="0" quotePrefix="0" xfId="0"/>
    <xf numFmtId="0" fontId="10" fillId="0" borderId="3" pivotButton="0" quotePrefix="0" xfId="0"/>
    <xf numFmtId="0" fontId="0" fillId="0" borderId="3" pivotButton="0" quotePrefix="0" xfId="0"/>
    <xf numFmtId="164" fontId="13" fillId="0" borderId="18" applyAlignment="1" pivotButton="0" quotePrefix="0" xfId="1">
      <alignment horizontal="center" vertical="center"/>
    </xf>
    <xf numFmtId="164" fontId="13" fillId="0" borderId="19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3" fillId="0" borderId="4" applyAlignment="1" pivotButton="0" quotePrefix="0" xfId="0">
      <alignment horizontal="left" wrapText="1"/>
    </xf>
    <xf numFmtId="0" fontId="13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13" fillId="0" borderId="5" applyAlignment="1" pivotButton="0" quotePrefix="0" xfId="1">
      <alignment horizontal="center" vertical="center"/>
    </xf>
    <xf numFmtId="0" fontId="0" fillId="0" borderId="4" pivotButton="0" quotePrefix="0" xfId="0"/>
    <xf numFmtId="0" fontId="14" fillId="0" borderId="4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8" fillId="0" borderId="12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2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3" fillId="0" borderId="19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4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164" fontId="12" fillId="0" borderId="13" applyAlignment="1" pivotButton="0" quotePrefix="0" xfId="1">
      <alignment horizontal="center" vertical="center"/>
    </xf>
    <xf numFmtId="164" fontId="12" fillId="0" borderId="17" applyAlignment="1" pivotButton="0" quotePrefix="0" xfId="1">
      <alignment horizontal="center" vertical="center"/>
    </xf>
    <xf numFmtId="0" fontId="13" fillId="0" borderId="18" applyAlignment="1" pivotButton="0" quotePrefix="0" xfId="0">
      <alignment horizontal="left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4" fillId="0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164" fontId="13" fillId="0" borderId="20" applyAlignment="1" pivotButton="0" quotePrefix="0" xfId="1">
      <alignment horizontal="center" vertical="center"/>
    </xf>
    <xf numFmtId="164" fontId="13" fillId="0" borderId="13" applyAlignment="1" pivotButton="0" quotePrefix="0" xfId="1">
      <alignment horizontal="center" vertical="center"/>
    </xf>
    <xf numFmtId="164" fontId="13" fillId="0" borderId="21" applyAlignment="1" pivotButton="0" quotePrefix="0" xfId="1">
      <alignment horizontal="center" vertical="center"/>
    </xf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0" fontId="0" fillId="0" borderId="2" pivotButton="0" quotePrefix="0" xfId="0"/>
    <xf numFmtId="0" fontId="5" fillId="2" borderId="23" applyAlignment="1" pivotButton="0" quotePrefix="0" xfId="0">
      <alignment horizontal="right"/>
    </xf>
    <xf numFmtId="0" fontId="6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7" fillId="0" borderId="30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/>
    </xf>
    <xf numFmtId="164" fontId="1" fillId="0" borderId="0" pivotButton="0" quotePrefix="0" xfId="1"/>
    <xf numFmtId="0" fontId="11" fillId="0" borderId="17" applyAlignment="1" pivotButton="0" quotePrefix="0" xfId="0">
      <alignment horizontal="left" vertical="center" wrapText="1"/>
    </xf>
    <xf numFmtId="164" fontId="12" fillId="0" borderId="17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8" pivotButton="0" quotePrefix="0" xfId="0"/>
    <xf numFmtId="0" fontId="0" fillId="0" borderId="29" pivotButton="0" quotePrefix="0" xfId="0"/>
    <xf numFmtId="164" fontId="13" fillId="0" borderId="18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4" fontId="13" fillId="0" borderId="19" applyAlignment="1" pivotButton="0" quotePrefix="0" xfId="1">
      <alignment horizontal="center" vertical="center"/>
    </xf>
    <xf numFmtId="164" fontId="13" fillId="0" borderId="22" applyAlignment="1" pivotButton="0" quotePrefix="0" xfId="1">
      <alignment horizontal="center" vertical="center"/>
    </xf>
    <xf numFmtId="0" fontId="0" fillId="0" borderId="21" pivotButton="0" quotePrefix="0" xfId="0"/>
    <xf numFmtId="164" fontId="13" fillId="0" borderId="5" applyAlignment="1" pivotButton="0" quotePrefix="0" xfId="1">
      <alignment horizontal="center" vertical="center"/>
    </xf>
    <xf numFmtId="0" fontId="2" fillId="0" borderId="23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4" fillId="0" borderId="13" applyAlignment="1" pivotButton="0" quotePrefix="0" xfId="0">
      <alignment horizontal="left" vertical="top" wrapText="1"/>
    </xf>
    <xf numFmtId="0" fontId="17" fillId="3" borderId="31" applyAlignment="1" pivotButton="0" quotePrefix="0" xfId="0">
      <alignment horizontal="center" vertical="center" wrapText="1"/>
    </xf>
    <xf numFmtId="0" fontId="0" fillId="0" borderId="31" pivotButton="0" quotePrefix="0" xfId="0"/>
    <xf numFmtId="0" fontId="17" fillId="4" borderId="31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476250</colOff>
      <row>45</row>
      <rowOff>85725</rowOff>
    </from>
    <to>
      <col>5</col>
      <colOff>781050</colOff>
      <row>52</row>
      <rowOff>104775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127500" y="9559925"/>
          <a:ext cx="1357630" cy="1308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476250</colOff>
      <row>45</row>
      <rowOff>85725</rowOff>
    </from>
    <to>
      <col>5</col>
      <colOff>773430</colOff>
      <row>52</row>
      <rowOff>104775</rowOff>
    </to>
    <pic>
      <nvPicPr>
        <cNvPr id="510" name="Picture 50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065270" y="9542145"/>
          <a:ext cx="1333500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32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113" zoomScaleNormal="70" workbookViewId="0">
      <selection activeCell="A2" sqref="A2:E2"/>
    </sheetView>
  </sheetViews>
  <sheetFormatPr baseColWidth="8" defaultRowHeight="14.4"/>
  <cols>
    <col width="13.33203125" customWidth="1" min="1" max="1"/>
    <col width="10" customWidth="1" min="2" max="2"/>
    <col width="18.88671875" customWidth="1" min="3" max="3"/>
    <col width="10" customWidth="1" min="4" max="4"/>
    <col width="15.109375" customWidth="1" min="5" max="5"/>
    <col width="12.6640625" bestFit="1" customWidth="1" min="6" max="6"/>
    <col width="21.88671875" customWidth="1" min="7" max="7"/>
    <col width="28.5546875" customWidth="1" min="8" max="8"/>
  </cols>
  <sheetData>
    <row r="1" ht="15" customHeight="1" thickBot="1"/>
    <row r="2" ht="89.25" customHeight="1" thickBot="1">
      <c r="A2" s="46" t="inlineStr">
        <is>
          <t>Jobuss Resources Pvt Ltd.</t>
        </is>
      </c>
      <c r="B2" s="96" t="n"/>
      <c r="C2" s="96" t="n"/>
      <c r="D2" s="96" t="n"/>
      <c r="E2" s="96" t="n"/>
      <c r="F2" s="49" t="n"/>
      <c r="G2" s="96" t="n"/>
      <c r="H2" s="21" t="n"/>
    </row>
    <row r="3" ht="17.4" customHeight="1" thickBot="1">
      <c r="A3" s="97" t="inlineStr">
        <is>
          <t>Private Limited</t>
        </is>
      </c>
      <c r="B3" s="96" t="n"/>
      <c r="C3" s="96" t="n"/>
      <c r="D3" s="96" t="n"/>
      <c r="E3" s="96" t="n"/>
      <c r="F3" s="96" t="n"/>
      <c r="G3" s="96" t="n"/>
      <c r="H3" s="21" t="n"/>
    </row>
    <row r="4" ht="15" customHeight="1" thickBot="1">
      <c r="A4" s="98" t="inlineStr">
        <is>
          <t>Add:- -1106, Sureshwari Techno IT Park, Eskay Resort, Borivali West Mumbai- 400092</t>
        </is>
      </c>
      <c r="B4" s="96" t="n"/>
      <c r="C4" s="96" t="n"/>
      <c r="D4" s="96" t="n"/>
      <c r="E4" s="96" t="n"/>
      <c r="F4" s="96" t="n"/>
      <c r="G4" s="96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9" t="inlineStr">
        <is>
          <t>Original For Recepient</t>
        </is>
      </c>
      <c r="B6" s="96" t="n"/>
      <c r="C6" s="96" t="n"/>
      <c r="D6" s="96" t="n"/>
      <c r="E6" s="96" t="n"/>
      <c r="F6" s="96" t="n"/>
      <c r="G6" s="96" t="n"/>
      <c r="H6" s="21" t="n"/>
    </row>
    <row r="7" ht="15" customHeight="1" thickTop="1">
      <c r="A7" s="100" t="inlineStr">
        <is>
          <t>Reliance Industries Limited</t>
        </is>
      </c>
      <c r="B7" s="101" t="n"/>
      <c r="C7" s="101" t="n"/>
      <c r="D7" s="101" t="n"/>
      <c r="E7" s="102" t="n"/>
      <c r="F7" s="4" t="inlineStr">
        <is>
          <t>Bill No. :</t>
        </is>
      </c>
      <c r="G7" s="39" t="n"/>
      <c r="H7" s="5" t="n"/>
    </row>
    <row r="8">
      <c r="A8" s="103" t="inlineStr">
        <is>
          <t>5, TTC Industrial Area,</t>
        </is>
      </c>
      <c r="E8" s="15" t="n"/>
      <c r="F8" s="104" t="inlineStr">
        <is>
          <t>PAN: AAECJ2353C</t>
        </is>
      </c>
      <c r="H8" s="15" t="n"/>
    </row>
    <row r="9">
      <c r="A9" s="103" t="inlineStr">
        <is>
          <t>Reliance Corporate Park,</t>
        </is>
      </c>
      <c r="E9" s="15" t="n"/>
      <c r="F9" s="104" t="inlineStr">
        <is>
          <t>GST No:  27AAECJ2353C1ZX</t>
        </is>
      </c>
      <c r="H9" s="15" t="n"/>
      <c r="I9" s="8" t="n"/>
    </row>
    <row r="10">
      <c r="A10" s="103" t="inlineStr">
        <is>
          <t>Thane-Belapur Road, Ghansoli, Navi Mumbai 400701</t>
        </is>
      </c>
      <c r="E10" s="15" t="n"/>
      <c r="F10" s="104" t="inlineStr">
        <is>
          <t>PF No.- KDMAL1720777000</t>
        </is>
      </c>
      <c r="H10" s="15" t="n"/>
      <c r="I10" s="8" t="n"/>
    </row>
    <row r="11">
      <c r="A11" s="103" t="inlineStr">
        <is>
          <t>GST NO: 27AAACR5055K1Z7</t>
        </is>
      </c>
      <c r="E11" s="15" t="n"/>
      <c r="F11" s="104" t="inlineStr">
        <is>
          <t>ESIC No.- 35000427980001001</t>
        </is>
      </c>
      <c r="H11" s="15" t="n"/>
      <c r="I11" s="8" t="n"/>
    </row>
    <row r="12">
      <c r="A12" s="9" t="inlineStr">
        <is>
          <t xml:space="preserve">PAN:  </t>
        </is>
      </c>
      <c r="B12" s="10" t="inlineStr">
        <is>
          <t>AAACR5055K</t>
        </is>
      </c>
      <c r="C12" s="11" t="n"/>
      <c r="D12" s="11" t="n"/>
      <c r="E12" s="12" t="n"/>
      <c r="F12" s="36" t="inlineStr">
        <is>
          <t xml:space="preserve">Bill Date :  </t>
        </is>
      </c>
      <c r="G12" s="37" t="inlineStr">
        <is>
          <t>28-02-2026</t>
        </is>
      </c>
      <c r="H12" s="38" t="n"/>
    </row>
    <row r="13">
      <c r="A13" s="9" t="inlineStr">
        <is>
          <t xml:space="preserve">Kind Attn: </t>
        </is>
      </c>
      <c r="B13" s="61" t="inlineStr">
        <is>
          <t>Mr. Adish Talim</t>
        </is>
      </c>
      <c r="D13" s="11" t="n"/>
      <c r="E13" s="12" t="n"/>
      <c r="F13" s="42" t="inlineStr">
        <is>
          <t>Due Date:</t>
        </is>
      </c>
      <c r="G13" s="64" t="inlineStr">
        <is>
          <t>03-03-2026</t>
        </is>
      </c>
      <c r="H13" s="65" t="n"/>
    </row>
    <row r="14">
      <c r="A14" s="67" t="inlineStr">
        <is>
          <t>Place of Service: Navi Mumbai</t>
        </is>
      </c>
      <c r="D14" s="61" t="n"/>
      <c r="E14" s="62" t="n"/>
      <c r="F14" s="105" t="inlineStr">
        <is>
          <t>SAC Code:  998513 (Contract Staffing Services)</t>
        </is>
      </c>
      <c r="H14" s="15" t="n"/>
    </row>
    <row r="15" ht="15" customHeight="1" thickBot="1">
      <c r="A15" s="103" t="n"/>
      <c r="E15" s="15" t="n"/>
      <c r="F15" s="13" t="inlineStr">
        <is>
          <t xml:space="preserve">Vendor Code: </t>
        </is>
      </c>
      <c r="G15" s="14" t="n">
        <v>3347687</v>
      </c>
      <c r="H15" s="15" t="n"/>
      <c r="I15" s="16" t="n"/>
      <c r="K15" s="106" t="n"/>
    </row>
    <row r="16" ht="18.6" customHeight="1" thickBot="1">
      <c r="A16" s="18" t="inlineStr">
        <is>
          <t xml:space="preserve">Work Order :540038036 </t>
        </is>
      </c>
      <c r="B16" s="19" t="n"/>
      <c r="C16" s="19" t="n"/>
      <c r="D16" s="19" t="n"/>
      <c r="E16" s="20" t="n"/>
      <c r="F16" s="70" t="n"/>
      <c r="G16" s="96" t="n"/>
      <c r="H16" s="21" t="n"/>
    </row>
    <row r="17" ht="16.5" customHeight="1">
      <c r="A17" s="107" t="inlineStr">
        <is>
          <t>Contarct staffing services for Assistance in Various Department Period: 21 Jan 2026 to 20 Feb 2026</t>
        </is>
      </c>
      <c r="G17" s="15" t="n"/>
      <c r="H17" s="108" t="n">
        <v>1078148</v>
      </c>
    </row>
    <row r="18">
      <c r="A18" s="33" t="n"/>
      <c r="G18" s="15" t="n"/>
      <c r="H18" s="109" t="n"/>
    </row>
    <row r="19">
      <c r="A19" s="33" t="n"/>
      <c r="G19" s="15" t="n"/>
      <c r="H19" s="109" t="n"/>
    </row>
    <row r="20" ht="15" customHeight="1" thickBot="1">
      <c r="A20" s="29" t="n"/>
      <c r="B20" s="30" t="n"/>
      <c r="C20" s="30" t="n"/>
      <c r="D20" s="30" t="n"/>
      <c r="E20" s="30" t="n"/>
      <c r="F20" s="30" t="n"/>
      <c r="G20" s="31" t="n"/>
      <c r="H20" s="110" t="n"/>
    </row>
    <row r="21" ht="15.6" customHeight="1">
      <c r="A21" s="80" t="inlineStr">
        <is>
          <t>Add : CGST @ 9%</t>
        </is>
      </c>
      <c r="B21" s="111" t="n"/>
      <c r="C21" s="111" t="n"/>
      <c r="D21" s="111" t="n"/>
      <c r="E21" s="111" t="n"/>
      <c r="F21" s="111" t="n"/>
      <c r="G21" s="112" t="n"/>
      <c r="H21" s="113" t="n">
        <v>97037</v>
      </c>
    </row>
    <row r="22" ht="16.2" customHeight="1" thickBot="1">
      <c r="A22" s="66" t="inlineStr">
        <is>
          <t>Add : SGST @ 9%</t>
        </is>
      </c>
      <c r="B22" s="114" t="n"/>
      <c r="C22" s="114" t="n"/>
      <c r="D22" s="114" t="n"/>
      <c r="E22" s="114" t="n"/>
      <c r="F22" s="114" t="n"/>
      <c r="G22" s="115" t="n"/>
      <c r="H22" s="116" t="n">
        <v>97037</v>
      </c>
    </row>
    <row r="23">
      <c r="A23" s="24" t="n"/>
      <c r="B23" s="25" t="n"/>
      <c r="C23" s="25" t="n"/>
      <c r="D23" s="25" t="n"/>
      <c r="E23" s="25" t="n"/>
      <c r="F23" s="25" t="n"/>
      <c r="G23" s="26" t="n"/>
      <c r="H23" s="117" t="n">
        <v>1272216</v>
      </c>
    </row>
    <row r="24" ht="15.6" customHeight="1">
      <c r="A24" s="27" t="inlineStr">
        <is>
          <t>Rupees:</t>
        </is>
      </c>
      <c r="B24" s="28" t="inlineStr">
        <is>
          <t>Twelve Lakh, Seventy-Two Thousand, Two Hundred And Sixteen Only</t>
        </is>
      </c>
      <c r="G24" s="15" t="n"/>
      <c r="H24" s="109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1" t="n"/>
      <c r="H25" s="118" t="n"/>
    </row>
    <row r="26" ht="15.6" customHeight="1">
      <c r="A26" s="27" t="n"/>
      <c r="B26" s="28" t="n"/>
      <c r="H26" s="119" t="n"/>
    </row>
    <row r="27">
      <c r="A27" s="33" t="n"/>
      <c r="H27" s="15" t="n"/>
    </row>
    <row r="28">
      <c r="A28" s="33" t="n"/>
      <c r="H28" s="15" t="n"/>
    </row>
    <row r="29">
      <c r="A29" s="33" t="n"/>
      <c r="H29" s="15" t="n"/>
    </row>
    <row r="30">
      <c r="A30" s="33" t="n"/>
      <c r="H30" s="15" t="n"/>
    </row>
    <row r="31">
      <c r="A31" s="33" t="n"/>
      <c r="H31" s="15" t="n"/>
    </row>
    <row r="32" ht="15" customHeight="1" thickBot="1">
      <c r="A32" s="33" t="n"/>
      <c r="H32" s="15" t="n"/>
    </row>
    <row r="33" ht="15" customHeight="1" thickBot="1">
      <c r="A33" s="120" t="inlineStr">
        <is>
          <t>Bank Details:</t>
        </is>
      </c>
      <c r="B33" s="96" t="n"/>
      <c r="C33" s="21" t="n"/>
      <c r="H33" s="15" t="n"/>
    </row>
    <row r="34">
      <c r="A34" s="33" t="inlineStr">
        <is>
          <t>Name:</t>
        </is>
      </c>
      <c r="B34" s="93" t="inlineStr">
        <is>
          <t>Jobuss Resources Pvt. Ltd.</t>
        </is>
      </c>
      <c r="C34" s="15" t="n"/>
      <c r="H34" s="15" t="n"/>
    </row>
    <row r="35">
      <c r="A35" s="33" t="inlineStr">
        <is>
          <t>Bank Name:</t>
        </is>
      </c>
      <c r="B35" s="93" t="inlineStr">
        <is>
          <t>ICICI Bank</t>
        </is>
      </c>
      <c r="C35" s="15" t="n"/>
      <c r="H35" s="15" t="n"/>
    </row>
    <row r="36">
      <c r="A36" s="33" t="inlineStr">
        <is>
          <t>A/c No.:</t>
        </is>
      </c>
      <c r="B36" s="121" t="inlineStr">
        <is>
          <t>120905000960</t>
        </is>
      </c>
      <c r="C36" s="15" t="n"/>
      <c r="H36" s="15" t="n"/>
    </row>
    <row r="37">
      <c r="A37" s="33" t="inlineStr">
        <is>
          <t>IFSC Code:</t>
        </is>
      </c>
      <c r="B37" s="93" t="inlineStr">
        <is>
          <t>ICIC0001209</t>
        </is>
      </c>
      <c r="C37" s="15" t="n"/>
      <c r="H37" s="15" t="n"/>
    </row>
    <row r="38" ht="15" customHeight="1" thickBot="1">
      <c r="A38" s="29" t="inlineStr">
        <is>
          <t>MICR No:</t>
        </is>
      </c>
      <c r="B38" s="122" t="inlineStr">
        <is>
          <t>400229195</t>
        </is>
      </c>
      <c r="C38" s="31" t="n"/>
      <c r="H38" s="15" t="n"/>
    </row>
    <row r="39">
      <c r="A39" s="33" t="n"/>
      <c r="H39" s="15" t="n"/>
    </row>
    <row r="40">
      <c r="A40" s="33" t="n"/>
      <c r="H40" s="15" t="n"/>
    </row>
    <row r="41">
      <c r="A41" s="33" t="n"/>
      <c r="H41" s="15" t="n"/>
    </row>
    <row r="42">
      <c r="A42" s="33" t="n"/>
      <c r="H42" s="15" t="n"/>
    </row>
    <row r="43">
      <c r="A43" s="33" t="n"/>
      <c r="H43" s="15" t="n"/>
    </row>
    <row r="44">
      <c r="A44" s="33" t="n"/>
      <c r="H44" s="15" t="n"/>
    </row>
    <row r="45" ht="15.6" customHeight="1">
      <c r="A45" s="33" t="n"/>
      <c r="G45" s="84" t="inlineStr">
        <is>
          <t xml:space="preserve">    For Jobuss Resources Pvt. Ltd.</t>
        </is>
      </c>
      <c r="H45" s="15" t="n"/>
    </row>
    <row r="46">
      <c r="A46" s="33" t="n"/>
      <c r="H46" s="15" t="n"/>
    </row>
    <row r="47">
      <c r="A47" s="33" t="n"/>
      <c r="H47" s="15" t="n"/>
    </row>
    <row r="48">
      <c r="A48" s="33" t="n"/>
      <c r="H48" s="15" t="n"/>
    </row>
    <row r="49">
      <c r="A49" s="33" t="n"/>
      <c r="H49" s="15" t="n"/>
    </row>
    <row r="50">
      <c r="A50" s="33" t="n"/>
      <c r="H50" s="15" t="n"/>
    </row>
    <row r="51">
      <c r="A51" s="33" t="n"/>
      <c r="H51" s="15" t="n"/>
    </row>
    <row r="52">
      <c r="A52" s="33" t="n"/>
      <c r="H52" s="15" t="n"/>
    </row>
    <row r="53" ht="15.6" customHeight="1">
      <c r="A53" s="33" t="n"/>
      <c r="G53" s="84" t="inlineStr">
        <is>
          <t xml:space="preserve">            Authorized Signatory</t>
        </is>
      </c>
      <c r="H53" s="15" t="n"/>
    </row>
    <row r="54" ht="15.6" customHeight="1">
      <c r="A54" s="33" t="n"/>
      <c r="G54" s="28" t="n"/>
      <c r="H54" s="15" t="n"/>
    </row>
    <row r="55" ht="15.6" customHeight="1">
      <c r="A55" s="33" t="n"/>
      <c r="G55" s="28" t="n"/>
      <c r="H55" s="15" t="n"/>
    </row>
    <row r="56" ht="15.6" customHeight="1">
      <c r="A56" s="33" t="n"/>
      <c r="G56" s="28" t="n"/>
      <c r="H56" s="15" t="n"/>
    </row>
    <row r="57" ht="15.6" customHeight="1">
      <c r="A57" s="33" t="n"/>
      <c r="G57" s="28" t="n"/>
      <c r="H57" s="15" t="n"/>
    </row>
    <row r="58">
      <c r="A58" s="33" t="n"/>
      <c r="H58" s="15" t="n"/>
    </row>
    <row r="59" ht="15.6" customHeight="1">
      <c r="A59" s="34" t="inlineStr">
        <is>
          <t>●   Early Remittance is Solicited.</t>
        </is>
      </c>
      <c r="B59" s="35" t="n"/>
      <c r="H59" s="15" t="n"/>
    </row>
    <row r="60" ht="15.75" customHeight="1">
      <c r="A60" s="123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0" s="15" t="n"/>
    </row>
    <row r="61" ht="22.5" customHeight="1">
      <c r="A61" s="33" t="n"/>
      <c r="H61" s="15" t="n"/>
    </row>
    <row r="62" ht="15" customHeight="1" thickBot="1">
      <c r="A62" s="29" t="n"/>
      <c r="B62" s="30" t="n"/>
      <c r="C62" s="30" t="n"/>
      <c r="D62" s="30" t="n"/>
      <c r="E62" s="30" t="n"/>
      <c r="F62" s="30" t="n"/>
      <c r="G62" s="30" t="n"/>
      <c r="H62" s="31" t="n"/>
    </row>
  </sheetData>
  <mergeCells count="33">
    <mergeCell ref="F16:G16"/>
    <mergeCell ref="A15:E15"/>
    <mergeCell ref="A22:G22"/>
    <mergeCell ref="A11:E11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B13:C13"/>
    <mergeCell ref="B38:C38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60:H61"/>
    <mergeCell ref="A21:G21"/>
    <mergeCell ref="A10:E10"/>
    <mergeCell ref="B36:C36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4" t="inlineStr">
        <is>
          <t>Kind Attention Person</t>
        </is>
      </c>
      <c r="B1" s="124" t="inlineStr">
        <is>
          <t>Employee Code</t>
        </is>
      </c>
      <c r="C1" s="124" t="inlineStr">
        <is>
          <t>Employee Name</t>
        </is>
      </c>
      <c r="D1" s="124" t="inlineStr">
        <is>
          <t>Billing</t>
        </is>
      </c>
      <c r="E1" s="124" t="inlineStr">
        <is>
          <t>No of days</t>
        </is>
      </c>
      <c r="F1" s="124" t="inlineStr">
        <is>
          <t>Eligible Days</t>
        </is>
      </c>
      <c r="G1" s="124" t="inlineStr">
        <is>
          <t>No of Saturdays</t>
        </is>
      </c>
      <c r="H1" s="124" t="inlineStr">
        <is>
          <t>No of Sundays</t>
        </is>
      </c>
      <c r="I1" s="124" t="inlineStr">
        <is>
          <t>No of Holidays</t>
        </is>
      </c>
      <c r="J1" s="124" t="inlineStr">
        <is>
          <t>Total Present</t>
        </is>
      </c>
      <c r="K1" s="124" t="inlineStr">
        <is>
          <t>Total Working Days</t>
        </is>
      </c>
      <c r="L1" s="124" t="inlineStr">
        <is>
          <t>Absents this Month</t>
        </is>
      </c>
      <c r="M1" s="124" t="inlineStr">
        <is>
          <t>Adjustment of Days</t>
        </is>
      </c>
      <c r="N1" s="124" t="inlineStr">
        <is>
          <t>Total Payable Days</t>
        </is>
      </c>
      <c r="O1" s="124" t="inlineStr">
        <is>
          <t>Total Payable Billing</t>
        </is>
      </c>
      <c r="P1" s="124" t="inlineStr">
        <is>
          <t>Charges</t>
        </is>
      </c>
      <c r="Q1" s="124" t="inlineStr">
        <is>
          <t>Out of Pocket Exp</t>
        </is>
      </c>
      <c r="R1" s="124" t="inlineStr">
        <is>
          <t>Arrears</t>
        </is>
      </c>
      <c r="S1" s="124" t="inlineStr">
        <is>
          <t>Total</t>
        </is>
      </c>
      <c r="T1" s="124" t="inlineStr">
        <is>
          <t>Grand Total</t>
        </is>
      </c>
      <c r="U1" s="124" t="inlineStr">
        <is>
          <t>Remark</t>
        </is>
      </c>
      <c r="V1" s="124" t="inlineStr">
        <is>
          <t>CGST @9%</t>
        </is>
      </c>
      <c r="W1" s="124" t="inlineStr">
        <is>
          <t>SGST @9%</t>
        </is>
      </c>
    </row>
    <row r="2">
      <c r="A2" s="125" t="inlineStr">
        <is>
          <t>Adish Talim</t>
        </is>
      </c>
      <c r="B2" s="125" t="inlineStr">
        <is>
          <t>JB-10143</t>
        </is>
      </c>
      <c r="C2" s="125" t="inlineStr">
        <is>
          <t>AADITYA VIJAY GOPALANI</t>
        </is>
      </c>
      <c r="D2" s="125" t="n">
        <v>40800</v>
      </c>
      <c r="E2" s="125" t="n">
        <v>31</v>
      </c>
      <c r="F2" s="125" t="n">
        <v>31</v>
      </c>
      <c r="G2" s="125" t="n">
        <v>4</v>
      </c>
      <c r="H2" s="125" t="n">
        <v>4</v>
      </c>
      <c r="I2" s="125" t="n">
        <v>1</v>
      </c>
      <c r="J2" s="125" t="n">
        <v>22</v>
      </c>
      <c r="K2" s="125" t="n">
        <v>31</v>
      </c>
      <c r="L2" s="125" t="n">
        <v>0</v>
      </c>
      <c r="M2" s="125" t="n">
        <v>0</v>
      </c>
      <c r="N2" s="125" t="n">
        <v>31</v>
      </c>
      <c r="O2" s="125" t="n">
        <v>40800</v>
      </c>
      <c r="P2" s="125" t="n">
        <v>750</v>
      </c>
      <c r="Q2" s="125" t="n">
        <v>0</v>
      </c>
      <c r="R2" s="125" t="n">
        <v>0</v>
      </c>
      <c r="S2" s="125" t="n">
        <v>41550</v>
      </c>
      <c r="T2" s="125" t="n">
        <v>49029</v>
      </c>
      <c r="U2" s="125" t="n">
        <v/>
      </c>
      <c r="V2" s="125" t="n">
        <v>3740</v>
      </c>
      <c r="W2" s="125" t="n">
        <v>3740</v>
      </c>
    </row>
    <row r="3">
      <c r="A3" s="125" t="inlineStr">
        <is>
          <t>Adish Talim</t>
        </is>
      </c>
      <c r="B3" s="125" t="inlineStr">
        <is>
          <t>JB-10014</t>
        </is>
      </c>
      <c r="C3" s="125" t="inlineStr">
        <is>
          <t>ABHISHEK GUPTA</t>
        </is>
      </c>
      <c r="D3" s="125" t="n">
        <v>43870</v>
      </c>
      <c r="E3" s="125" t="n">
        <v>31</v>
      </c>
      <c r="F3" s="125" t="n">
        <v>31</v>
      </c>
      <c r="G3" s="125" t="n">
        <v>4</v>
      </c>
      <c r="H3" s="125" t="n">
        <v>4</v>
      </c>
      <c r="I3" s="125" t="n">
        <v>1</v>
      </c>
      <c r="J3" s="125" t="n">
        <v>22</v>
      </c>
      <c r="K3" s="125" t="n">
        <v>31</v>
      </c>
      <c r="L3" s="125" t="n">
        <v>0</v>
      </c>
      <c r="M3" s="125" t="n">
        <v>0</v>
      </c>
      <c r="N3" s="125" t="n">
        <v>31</v>
      </c>
      <c r="O3" s="125" t="n">
        <v>43870</v>
      </c>
      <c r="P3" s="125" t="n">
        <v>750</v>
      </c>
      <c r="Q3" s="125" t="n">
        <v>0</v>
      </c>
      <c r="R3" s="125" t="n">
        <v>0</v>
      </c>
      <c r="S3" s="125" t="n">
        <v>44620</v>
      </c>
      <c r="T3" s="125" t="n">
        <v>52652</v>
      </c>
      <c r="U3" s="125" t="n">
        <v/>
      </c>
      <c r="V3" s="125" t="n">
        <v>4016</v>
      </c>
      <c r="W3" s="125" t="n">
        <v>4016</v>
      </c>
    </row>
    <row r="4">
      <c r="A4" s="125" t="inlineStr">
        <is>
          <t>Adish Talim</t>
        </is>
      </c>
      <c r="B4" s="125" t="inlineStr">
        <is>
          <t>JB-10011</t>
        </is>
      </c>
      <c r="C4" s="125" t="inlineStr">
        <is>
          <t>ARUMUGAM PERIASWAMY DEVENDRAN</t>
        </is>
      </c>
      <c r="D4" s="125" t="n">
        <v>45150</v>
      </c>
      <c r="E4" s="125" t="n">
        <v>31</v>
      </c>
      <c r="F4" s="125" t="n">
        <v>31</v>
      </c>
      <c r="G4" s="125" t="n">
        <v>4</v>
      </c>
      <c r="H4" s="125" t="n">
        <v>4</v>
      </c>
      <c r="I4" s="125" t="n">
        <v>1</v>
      </c>
      <c r="J4" s="125" t="n">
        <v>22</v>
      </c>
      <c r="K4" s="125" t="n">
        <v>31</v>
      </c>
      <c r="L4" s="125" t="n">
        <v>0</v>
      </c>
      <c r="M4" s="125" t="n">
        <v>0</v>
      </c>
      <c r="N4" s="125" t="n">
        <v>31</v>
      </c>
      <c r="O4" s="125" t="n">
        <v>45150</v>
      </c>
      <c r="P4" s="125" t="n">
        <v>750</v>
      </c>
      <c r="Q4" s="125" t="n">
        <v>0</v>
      </c>
      <c r="R4" s="125" t="n">
        <v>0</v>
      </c>
      <c r="S4" s="125" t="n">
        <v>45900</v>
      </c>
      <c r="T4" s="125" t="n">
        <v>54162</v>
      </c>
      <c r="U4" s="125" t="n">
        <v/>
      </c>
      <c r="V4" s="125" t="n">
        <v>4131</v>
      </c>
      <c r="W4" s="125" t="n">
        <v>4131</v>
      </c>
    </row>
    <row r="5">
      <c r="A5" s="125" t="inlineStr">
        <is>
          <t>Adish Talim</t>
        </is>
      </c>
      <c r="B5" s="125" t="inlineStr">
        <is>
          <t>JB-10089</t>
        </is>
      </c>
      <c r="C5" s="125" t="inlineStr">
        <is>
          <t>ASHUTOSH ANILKUMAR PATIL</t>
        </is>
      </c>
      <c r="D5" s="125" t="n">
        <v>42848</v>
      </c>
      <c r="E5" s="125" t="n">
        <v>31</v>
      </c>
      <c r="F5" s="125" t="n">
        <v>31</v>
      </c>
      <c r="G5" s="125" t="n">
        <v>4</v>
      </c>
      <c r="H5" s="125" t="n">
        <v>4</v>
      </c>
      <c r="I5" s="125" t="n">
        <v>1</v>
      </c>
      <c r="J5" s="125" t="n">
        <v>22</v>
      </c>
      <c r="K5" s="125" t="n">
        <v>31</v>
      </c>
      <c r="L5" s="125" t="n">
        <v>0</v>
      </c>
      <c r="M5" s="125" t="n">
        <v>0</v>
      </c>
      <c r="N5" s="125" t="n">
        <v>31</v>
      </c>
      <c r="O5" s="125" t="n">
        <v>42848</v>
      </c>
      <c r="P5" s="125" t="n">
        <v>750</v>
      </c>
      <c r="Q5" s="125" t="n">
        <v>0</v>
      </c>
      <c r="R5" s="125" t="n">
        <v>0</v>
      </c>
      <c r="S5" s="125" t="n">
        <v>43598</v>
      </c>
      <c r="T5" s="125" t="n">
        <v>51446</v>
      </c>
      <c r="U5" s="125" t="n">
        <v/>
      </c>
      <c r="V5" s="125" t="n">
        <v>3924</v>
      </c>
      <c r="W5" s="125" t="n">
        <v>3924</v>
      </c>
    </row>
    <row r="6">
      <c r="A6" s="125" t="inlineStr">
        <is>
          <t>Adish Talim</t>
        </is>
      </c>
      <c r="B6" s="125" t="inlineStr">
        <is>
          <t>JB-10178</t>
        </is>
      </c>
      <c r="C6" s="125" t="inlineStr">
        <is>
          <t>DEEPAK KUMAR SRIVASTAVA</t>
        </is>
      </c>
      <c r="D6" s="125" t="n">
        <v>39000</v>
      </c>
      <c r="E6" s="125" t="n">
        <v>31</v>
      </c>
      <c r="F6" s="125" t="n">
        <v>31</v>
      </c>
      <c r="G6" s="125" t="n">
        <v>4</v>
      </c>
      <c r="H6" s="125" t="n">
        <v>4</v>
      </c>
      <c r="I6" s="125" t="n">
        <v>1</v>
      </c>
      <c r="J6" s="125" t="n">
        <v>22</v>
      </c>
      <c r="K6" s="125" t="n">
        <v>31</v>
      </c>
      <c r="L6" s="125" t="n">
        <v>0</v>
      </c>
      <c r="M6" s="125" t="n">
        <v>0</v>
      </c>
      <c r="N6" s="125" t="n">
        <v>31</v>
      </c>
      <c r="O6" s="125" t="n">
        <v>39000</v>
      </c>
      <c r="P6" s="125" t="n">
        <v>750</v>
      </c>
      <c r="Q6" s="125" t="n">
        <v>0</v>
      </c>
      <c r="R6" s="125" t="n">
        <v>0</v>
      </c>
      <c r="S6" s="125" t="n">
        <v>39750</v>
      </c>
      <c r="T6" s="125" t="n">
        <v>46905</v>
      </c>
      <c r="U6" s="125" t="n">
        <v/>
      </c>
      <c r="V6" s="125" t="n">
        <v>3578</v>
      </c>
      <c r="W6" s="125" t="n">
        <v>3578</v>
      </c>
    </row>
    <row r="7">
      <c r="A7" s="125" t="inlineStr">
        <is>
          <t>Adish Talim</t>
        </is>
      </c>
      <c r="B7" s="125" t="inlineStr">
        <is>
          <t>JB-10009</t>
        </is>
      </c>
      <c r="C7" s="125" t="inlineStr">
        <is>
          <t>GANESH BHAGWAN KHADKE</t>
        </is>
      </c>
      <c r="D7" s="125" t="n">
        <v>40660</v>
      </c>
      <c r="E7" s="125" t="n">
        <v>31</v>
      </c>
      <c r="F7" s="125" t="n">
        <v>31</v>
      </c>
      <c r="G7" s="125" t="n">
        <v>4</v>
      </c>
      <c r="H7" s="125" t="n">
        <v>4</v>
      </c>
      <c r="I7" s="125" t="n">
        <v>1</v>
      </c>
      <c r="J7" s="125" t="n">
        <v>22</v>
      </c>
      <c r="K7" s="125" t="n">
        <v>31</v>
      </c>
      <c r="L7" s="125" t="n">
        <v>0</v>
      </c>
      <c r="M7" s="125" t="n">
        <v>0</v>
      </c>
      <c r="N7" s="125" t="n">
        <v>31</v>
      </c>
      <c r="O7" s="125" t="n">
        <v>40660</v>
      </c>
      <c r="P7" s="125" t="n">
        <v>750</v>
      </c>
      <c r="Q7" s="125" t="n">
        <v>0</v>
      </c>
      <c r="R7" s="125" t="n">
        <v>0</v>
      </c>
      <c r="S7" s="125" t="n">
        <v>41410</v>
      </c>
      <c r="T7" s="125" t="n">
        <v>48864</v>
      </c>
      <c r="U7" s="125" t="n">
        <v/>
      </c>
      <c r="V7" s="125" t="n">
        <v>3727</v>
      </c>
      <c r="W7" s="125" t="n">
        <v>3727</v>
      </c>
    </row>
    <row r="8">
      <c r="A8" s="125" t="inlineStr">
        <is>
          <t>Adish Talim</t>
        </is>
      </c>
      <c r="B8" s="125" t="inlineStr">
        <is>
          <t>JB-10015</t>
        </is>
      </c>
      <c r="C8" s="125" t="inlineStr">
        <is>
          <t>HARSHALI RAMESH KOLI</t>
        </is>
      </c>
      <c r="D8" s="125" t="n">
        <v>35700</v>
      </c>
      <c r="E8" s="125" t="n">
        <v>31</v>
      </c>
      <c r="F8" s="125" t="n">
        <v>31</v>
      </c>
      <c r="G8" s="125" t="n">
        <v>4</v>
      </c>
      <c r="H8" s="125" t="n">
        <v>4</v>
      </c>
      <c r="I8" s="125" t="n">
        <v>1</v>
      </c>
      <c r="J8" s="125" t="n">
        <v>22</v>
      </c>
      <c r="K8" s="125" t="n">
        <v>31</v>
      </c>
      <c r="L8" s="125" t="n">
        <v>0</v>
      </c>
      <c r="M8" s="125" t="n">
        <v>0</v>
      </c>
      <c r="N8" s="125" t="n">
        <v>31</v>
      </c>
      <c r="O8" s="125" t="n">
        <v>35700</v>
      </c>
      <c r="P8" s="125" t="n">
        <v>750</v>
      </c>
      <c r="Q8" s="125" t="n">
        <v>0</v>
      </c>
      <c r="R8" s="125" t="n">
        <v>0</v>
      </c>
      <c r="S8" s="125" t="n">
        <v>36450</v>
      </c>
      <c r="T8" s="125" t="n">
        <v>43011</v>
      </c>
      <c r="U8" s="125" t="n">
        <v/>
      </c>
      <c r="V8" s="125" t="n">
        <v>3280</v>
      </c>
      <c r="W8" s="125" t="n">
        <v>3280</v>
      </c>
    </row>
    <row r="9">
      <c r="A9" s="125" t="inlineStr">
        <is>
          <t>Adish Talim</t>
        </is>
      </c>
      <c r="B9" s="125" t="inlineStr">
        <is>
          <t>JB-10085</t>
        </is>
      </c>
      <c r="C9" s="125" t="inlineStr">
        <is>
          <t>JAI KUNAL</t>
        </is>
      </c>
      <c r="D9" s="125" t="n">
        <v>41798</v>
      </c>
      <c r="E9" s="125" t="n">
        <v>31</v>
      </c>
      <c r="F9" s="125" t="n">
        <v>31</v>
      </c>
      <c r="G9" s="125" t="n">
        <v>4</v>
      </c>
      <c r="H9" s="125" t="n">
        <v>4</v>
      </c>
      <c r="I9" s="125" t="n">
        <v>1</v>
      </c>
      <c r="J9" s="125" t="n">
        <v>22</v>
      </c>
      <c r="K9" s="125" t="n">
        <v>31</v>
      </c>
      <c r="L9" s="125" t="n">
        <v>0</v>
      </c>
      <c r="M9" s="125" t="n">
        <v>0</v>
      </c>
      <c r="N9" s="125" t="n">
        <v>31</v>
      </c>
      <c r="O9" s="125" t="n">
        <v>41798</v>
      </c>
      <c r="P9" s="125" t="n">
        <v>750</v>
      </c>
      <c r="Q9" s="125" t="n">
        <v>0</v>
      </c>
      <c r="R9" s="125" t="n">
        <v>0</v>
      </c>
      <c r="S9" s="125" t="n">
        <v>42548</v>
      </c>
      <c r="T9" s="125" t="n">
        <v>50207</v>
      </c>
      <c r="U9" s="125" t="n">
        <v/>
      </c>
      <c r="V9" s="125" t="n">
        <v>3829</v>
      </c>
      <c r="W9" s="125" t="n">
        <v>3829</v>
      </c>
    </row>
    <row r="10">
      <c r="A10" s="125" t="inlineStr">
        <is>
          <t>Adish Talim</t>
        </is>
      </c>
      <c r="B10" s="125" t="inlineStr">
        <is>
          <t>JB-10167</t>
        </is>
      </c>
      <c r="C10" s="125" t="inlineStr">
        <is>
          <t>KARAN JOGEANDER SINGH</t>
        </is>
      </c>
      <c r="D10" s="125" t="n">
        <v>36800</v>
      </c>
      <c r="E10" s="125" t="n">
        <v>31</v>
      </c>
      <c r="F10" s="125" t="n">
        <v>31</v>
      </c>
      <c r="G10" s="125" t="n">
        <v>4</v>
      </c>
      <c r="H10" s="125" t="n">
        <v>4</v>
      </c>
      <c r="I10" s="125" t="n">
        <v>1</v>
      </c>
      <c r="J10" s="125" t="n">
        <v>22</v>
      </c>
      <c r="K10" s="125" t="n">
        <v>31</v>
      </c>
      <c r="L10" s="125" t="n">
        <v>0</v>
      </c>
      <c r="M10" s="125" t="n">
        <v>0</v>
      </c>
      <c r="N10" s="125" t="n">
        <v>31</v>
      </c>
      <c r="O10" s="125" t="n">
        <v>36800</v>
      </c>
      <c r="P10" s="125" t="n">
        <v>750</v>
      </c>
      <c r="Q10" s="125" t="n">
        <v>0</v>
      </c>
      <c r="R10" s="125" t="n">
        <v>0</v>
      </c>
      <c r="S10" s="125" t="n">
        <v>37550</v>
      </c>
      <c r="T10" s="125" t="n">
        <v>44309</v>
      </c>
      <c r="U10" s="125" t="n">
        <v/>
      </c>
      <c r="V10" s="125" t="n">
        <v>3380</v>
      </c>
      <c r="W10" s="125" t="n">
        <v>3380</v>
      </c>
    </row>
    <row r="11">
      <c r="A11" s="125" t="inlineStr">
        <is>
          <t>Adish Talim</t>
        </is>
      </c>
      <c r="B11" s="125" t="inlineStr">
        <is>
          <t>JB-10260</t>
        </is>
      </c>
      <c r="C11" s="125" t="inlineStr">
        <is>
          <t>KIRTI SALASKAR</t>
        </is>
      </c>
      <c r="D11" s="125" t="n">
        <v>30000</v>
      </c>
      <c r="E11" s="125" t="n">
        <v>31</v>
      </c>
      <c r="F11" s="125" t="n">
        <v>31</v>
      </c>
      <c r="G11" s="125" t="n">
        <v>4</v>
      </c>
      <c r="H11" s="125" t="n">
        <v>4</v>
      </c>
      <c r="I11" s="125" t="n">
        <v>1</v>
      </c>
      <c r="J11" s="125" t="n">
        <v>22</v>
      </c>
      <c r="K11" s="125" t="n">
        <v>31</v>
      </c>
      <c r="L11" s="125" t="n">
        <v>0</v>
      </c>
      <c r="M11" s="125" t="n">
        <v>0</v>
      </c>
      <c r="N11" s="125" t="n">
        <v>31</v>
      </c>
      <c r="O11" s="125" t="n">
        <v>30000</v>
      </c>
      <c r="P11" s="125" t="n">
        <v>750</v>
      </c>
      <c r="Q11" s="125" t="n">
        <v>0</v>
      </c>
      <c r="R11" s="125" t="n">
        <v>0</v>
      </c>
      <c r="S11" s="125" t="n">
        <v>30750</v>
      </c>
      <c r="T11" s="125" t="n">
        <v>36285</v>
      </c>
      <c r="U11" s="125" t="n">
        <v/>
      </c>
      <c r="V11" s="125" t="n">
        <v>2768</v>
      </c>
      <c r="W11" s="125" t="n">
        <v>2768</v>
      </c>
    </row>
    <row r="12">
      <c r="A12" s="125" t="inlineStr">
        <is>
          <t>Adish Talim</t>
        </is>
      </c>
      <c r="B12" s="125" t="inlineStr">
        <is>
          <t>JB-10169</t>
        </is>
      </c>
      <c r="C12" s="125" t="inlineStr">
        <is>
          <t>MANASA CHANDRABABU NAIDU RAVILLA</t>
        </is>
      </c>
      <c r="D12" s="125" t="n">
        <v>49522</v>
      </c>
      <c r="E12" s="125" t="n">
        <v>31</v>
      </c>
      <c r="F12" s="125" t="n">
        <v>31</v>
      </c>
      <c r="G12" s="125" t="n">
        <v>4</v>
      </c>
      <c r="H12" s="125" t="n">
        <v>4</v>
      </c>
      <c r="I12" s="125" t="n">
        <v>1</v>
      </c>
      <c r="J12" s="125" t="n">
        <v>22</v>
      </c>
      <c r="K12" s="125" t="n">
        <v>31</v>
      </c>
      <c r="L12" s="125" t="n">
        <v>0</v>
      </c>
      <c r="M12" s="125" t="n">
        <v>0</v>
      </c>
      <c r="N12" s="125" t="n">
        <v>31</v>
      </c>
      <c r="O12" s="125" t="n">
        <v>49522</v>
      </c>
      <c r="P12" s="125" t="n">
        <v>750</v>
      </c>
      <c r="Q12" s="125" t="n">
        <v>0</v>
      </c>
      <c r="R12" s="125" t="n">
        <v>0</v>
      </c>
      <c r="S12" s="125" t="n">
        <v>50272</v>
      </c>
      <c r="T12" s="125" t="n">
        <v>59321</v>
      </c>
      <c r="U12" s="125" t="n">
        <v/>
      </c>
      <c r="V12" s="125" t="n">
        <v>4524</v>
      </c>
      <c r="W12" s="125" t="n">
        <v>4524</v>
      </c>
    </row>
    <row r="13">
      <c r="A13" s="125" t="inlineStr">
        <is>
          <t>Adish Talim</t>
        </is>
      </c>
      <c r="B13" s="125" t="inlineStr">
        <is>
          <t>JB-10025</t>
        </is>
      </c>
      <c r="C13" s="125" t="inlineStr">
        <is>
          <t>MANSI GOEL</t>
        </is>
      </c>
      <c r="D13" s="125" t="n">
        <v>37985</v>
      </c>
      <c r="E13" s="125" t="n">
        <v>31</v>
      </c>
      <c r="F13" s="125" t="n">
        <v>31</v>
      </c>
      <c r="G13" s="125" t="n">
        <v>4</v>
      </c>
      <c r="H13" s="125" t="n">
        <v>4</v>
      </c>
      <c r="I13" s="125" t="n">
        <v>1</v>
      </c>
      <c r="J13" s="125" t="n">
        <v>22</v>
      </c>
      <c r="K13" s="125" t="n">
        <v>31</v>
      </c>
      <c r="L13" s="125" t="n">
        <v>0</v>
      </c>
      <c r="M13" s="125" t="n">
        <v>0</v>
      </c>
      <c r="N13" s="125" t="n">
        <v>31</v>
      </c>
      <c r="O13" s="125" t="n">
        <v>37985</v>
      </c>
      <c r="P13" s="125" t="n">
        <v>750</v>
      </c>
      <c r="Q13" s="125" t="n">
        <v>0</v>
      </c>
      <c r="R13" s="125" t="n">
        <v>0</v>
      </c>
      <c r="S13" s="125" t="n">
        <v>38735</v>
      </c>
      <c r="T13" s="125" t="n">
        <v>45707</v>
      </c>
      <c r="U13" s="125" t="n">
        <v/>
      </c>
      <c r="V13" s="125" t="n">
        <v>3486</v>
      </c>
      <c r="W13" s="125" t="n">
        <v>3486</v>
      </c>
    </row>
    <row r="14">
      <c r="A14" s="125" t="inlineStr">
        <is>
          <t>Adish Talim</t>
        </is>
      </c>
      <c r="B14" s="125" t="inlineStr">
        <is>
          <t>JB-10197</t>
        </is>
      </c>
      <c r="C14" s="125" t="inlineStr">
        <is>
          <t>NIKHILESH RAMSAHAI VISHWAKARMA</t>
        </is>
      </c>
      <c r="D14" s="125" t="n">
        <v>33800</v>
      </c>
      <c r="E14" s="125" t="n">
        <v>31</v>
      </c>
      <c r="F14" s="125" t="n">
        <v>31</v>
      </c>
      <c r="G14" s="125" t="n">
        <v>4</v>
      </c>
      <c r="H14" s="125" t="n">
        <v>4</v>
      </c>
      <c r="I14" s="125" t="n">
        <v>1</v>
      </c>
      <c r="J14" s="125" t="n">
        <v>22</v>
      </c>
      <c r="K14" s="125" t="n">
        <v>31</v>
      </c>
      <c r="L14" s="125" t="n">
        <v>0</v>
      </c>
      <c r="M14" s="125" t="n">
        <v>0</v>
      </c>
      <c r="N14" s="125" t="n">
        <v>31</v>
      </c>
      <c r="O14" s="125" t="n">
        <v>33800</v>
      </c>
      <c r="P14" s="125" t="n">
        <v>750</v>
      </c>
      <c r="Q14" s="125" t="n">
        <v>0</v>
      </c>
      <c r="R14" s="125" t="n">
        <v>0</v>
      </c>
      <c r="S14" s="125" t="n">
        <v>34550</v>
      </c>
      <c r="T14" s="125" t="n">
        <v>40769</v>
      </c>
      <c r="U14" s="125" t="n">
        <v/>
      </c>
      <c r="V14" s="125" t="n">
        <v>3110</v>
      </c>
      <c r="W14" s="125" t="n">
        <v>3110</v>
      </c>
    </row>
    <row r="15">
      <c r="A15" s="125" t="inlineStr">
        <is>
          <t>Adish Talim</t>
        </is>
      </c>
      <c r="B15" s="125" t="inlineStr">
        <is>
          <t>JB-10016</t>
        </is>
      </c>
      <c r="C15" s="125" t="inlineStr">
        <is>
          <t>PANKAJ GUSAIN</t>
        </is>
      </c>
      <c r="D15" s="125" t="n">
        <v>36400</v>
      </c>
      <c r="E15" s="125" t="n">
        <v>31</v>
      </c>
      <c r="F15" s="125" t="n">
        <v>24</v>
      </c>
      <c r="G15" s="125" t="n">
        <v>3</v>
      </c>
      <c r="H15" s="125" t="n">
        <v>3</v>
      </c>
      <c r="I15" s="125" t="n">
        <v>1</v>
      </c>
      <c r="J15" s="125" t="n">
        <v>17</v>
      </c>
      <c r="K15" s="125" t="n">
        <v>24</v>
      </c>
      <c r="L15" s="125" t="n">
        <v>0</v>
      </c>
      <c r="M15" s="125" t="n">
        <v>0</v>
      </c>
      <c r="N15" s="125" t="n">
        <v>24</v>
      </c>
      <c r="O15" s="125" t="n">
        <v>28181</v>
      </c>
      <c r="P15" s="125" t="n">
        <v>750</v>
      </c>
      <c r="Q15" s="125" t="n">
        <v>0</v>
      </c>
      <c r="R15" s="125" t="n">
        <v>0</v>
      </c>
      <c r="S15" s="125" t="n">
        <v>28931</v>
      </c>
      <c r="T15" s="125" t="n">
        <v>34138</v>
      </c>
      <c r="U15" s="125" t="inlineStr">
        <is>
          <t>LDW 13-02-2026</t>
        </is>
      </c>
      <c r="V15" s="125" t="n">
        <v>2604</v>
      </c>
      <c r="W15" s="125" t="n">
        <v>2604</v>
      </c>
    </row>
    <row r="16">
      <c r="A16" s="125" t="inlineStr">
        <is>
          <t>Adish Talim</t>
        </is>
      </c>
      <c r="B16" s="125" t="inlineStr">
        <is>
          <t>JB-10080</t>
        </is>
      </c>
      <c r="C16" s="125" t="inlineStr">
        <is>
          <t>RAGHAV MANGLIK</t>
        </is>
      </c>
      <c r="D16" s="125" t="n">
        <v>39698</v>
      </c>
      <c r="E16" s="125" t="n">
        <v>31</v>
      </c>
      <c r="F16" s="125" t="n">
        <v>31</v>
      </c>
      <c r="G16" s="125" t="n">
        <v>4</v>
      </c>
      <c r="H16" s="125" t="n">
        <v>4</v>
      </c>
      <c r="I16" s="125" t="n">
        <v>1</v>
      </c>
      <c r="J16" s="125" t="n">
        <v>22</v>
      </c>
      <c r="K16" s="125" t="n">
        <v>31</v>
      </c>
      <c r="L16" s="125" t="n">
        <v>0</v>
      </c>
      <c r="M16" s="125" t="n">
        <v>0</v>
      </c>
      <c r="N16" s="125" t="n">
        <v>31</v>
      </c>
      <c r="O16" s="125" t="n">
        <v>39698</v>
      </c>
      <c r="P16" s="125" t="n">
        <v>750</v>
      </c>
      <c r="Q16" s="125" t="n">
        <v>0</v>
      </c>
      <c r="R16" s="125" t="n">
        <v>0</v>
      </c>
      <c r="S16" s="125" t="n">
        <v>40448</v>
      </c>
      <c r="T16" s="125" t="n">
        <v>47729</v>
      </c>
      <c r="U16" s="125" t="n">
        <v/>
      </c>
      <c r="V16" s="125" t="n">
        <v>3640</v>
      </c>
      <c r="W16" s="125" t="n">
        <v>3640</v>
      </c>
    </row>
    <row r="17">
      <c r="A17" s="125" t="inlineStr">
        <is>
          <t>Adish Talim</t>
        </is>
      </c>
      <c r="B17" s="125" t="inlineStr">
        <is>
          <t>JB-10026</t>
        </is>
      </c>
      <c r="C17" s="125" t="inlineStr">
        <is>
          <t>RAJKUMAR SIDRAM GAIKWAD</t>
        </is>
      </c>
      <c r="D17" s="125" t="n">
        <v>37985</v>
      </c>
      <c r="E17" s="125" t="n">
        <v>31</v>
      </c>
      <c r="F17" s="125" t="n">
        <v>31</v>
      </c>
      <c r="G17" s="125" t="n">
        <v>4</v>
      </c>
      <c r="H17" s="125" t="n">
        <v>4</v>
      </c>
      <c r="I17" s="125" t="n">
        <v>1</v>
      </c>
      <c r="J17" s="125" t="n">
        <v>22</v>
      </c>
      <c r="K17" s="125" t="n">
        <v>31</v>
      </c>
      <c r="L17" s="125" t="n">
        <v>0</v>
      </c>
      <c r="M17" s="125" t="n">
        <v>0</v>
      </c>
      <c r="N17" s="125" t="n">
        <v>31</v>
      </c>
      <c r="O17" s="125" t="n">
        <v>37985</v>
      </c>
      <c r="P17" s="125" t="n">
        <v>750</v>
      </c>
      <c r="Q17" s="125" t="n">
        <v>0</v>
      </c>
      <c r="R17" s="125" t="n">
        <v>0</v>
      </c>
      <c r="S17" s="125" t="n">
        <v>38735</v>
      </c>
      <c r="T17" s="125" t="n">
        <v>45707</v>
      </c>
      <c r="U17" s="125" t="n">
        <v/>
      </c>
      <c r="V17" s="125" t="n">
        <v>3486</v>
      </c>
      <c r="W17" s="125" t="n">
        <v>3486</v>
      </c>
    </row>
    <row r="18">
      <c r="A18" s="125" t="inlineStr">
        <is>
          <t>Adish Talim</t>
        </is>
      </c>
      <c r="B18" s="125" t="inlineStr">
        <is>
          <t>JB-10084</t>
        </is>
      </c>
      <c r="C18" s="125" t="inlineStr">
        <is>
          <t>RAM PRAKASH PATIL</t>
        </is>
      </c>
      <c r="D18" s="125" t="n">
        <v>40748</v>
      </c>
      <c r="E18" s="125" t="n">
        <v>31</v>
      </c>
      <c r="F18" s="125" t="n">
        <v>31</v>
      </c>
      <c r="G18" s="125" t="n">
        <v>4</v>
      </c>
      <c r="H18" s="125" t="n">
        <v>4</v>
      </c>
      <c r="I18" s="125" t="n">
        <v>1</v>
      </c>
      <c r="J18" s="125" t="n">
        <v>22</v>
      </c>
      <c r="K18" s="125" t="n">
        <v>31</v>
      </c>
      <c r="L18" s="125" t="n">
        <v>0</v>
      </c>
      <c r="M18" s="125" t="n">
        <v>0</v>
      </c>
      <c r="N18" s="125" t="n">
        <v>31</v>
      </c>
      <c r="O18" s="125" t="n">
        <v>40748</v>
      </c>
      <c r="P18" s="125" t="n">
        <v>750</v>
      </c>
      <c r="Q18" s="125" t="n">
        <v>0</v>
      </c>
      <c r="R18" s="125" t="n">
        <v>0</v>
      </c>
      <c r="S18" s="125" t="n">
        <v>41498</v>
      </c>
      <c r="T18" s="125" t="n">
        <v>48968</v>
      </c>
      <c r="U18" s="125" t="n">
        <v/>
      </c>
      <c r="V18" s="125" t="n">
        <v>3735</v>
      </c>
      <c r="W18" s="125" t="n">
        <v>3735</v>
      </c>
    </row>
    <row r="19">
      <c r="A19" s="125" t="inlineStr">
        <is>
          <t>Adish Talim</t>
        </is>
      </c>
      <c r="B19" s="125" t="inlineStr">
        <is>
          <t>JB-10133</t>
        </is>
      </c>
      <c r="C19" s="125" t="inlineStr">
        <is>
          <t>SANCHIT KACHALE</t>
        </is>
      </c>
      <c r="D19" s="125" t="n">
        <v>34570</v>
      </c>
      <c r="E19" s="125" t="n">
        <v>31</v>
      </c>
      <c r="F19" s="125" t="n">
        <v>31</v>
      </c>
      <c r="G19" s="125" t="n">
        <v>4</v>
      </c>
      <c r="H19" s="125" t="n">
        <v>4</v>
      </c>
      <c r="I19" s="125" t="n">
        <v>1</v>
      </c>
      <c r="J19" s="125" t="n">
        <v>22</v>
      </c>
      <c r="K19" s="125" t="n">
        <v>31</v>
      </c>
      <c r="L19" s="125" t="n">
        <v>0</v>
      </c>
      <c r="M19" s="125" t="n">
        <v>0</v>
      </c>
      <c r="N19" s="125" t="n">
        <v>31</v>
      </c>
      <c r="O19" s="125" t="n">
        <v>34570</v>
      </c>
      <c r="P19" s="125" t="n">
        <v>750</v>
      </c>
      <c r="Q19" s="125" t="n">
        <v>0</v>
      </c>
      <c r="R19" s="125" t="n">
        <v>0</v>
      </c>
      <c r="S19" s="125" t="n">
        <v>35320</v>
      </c>
      <c r="T19" s="125" t="n">
        <v>41678</v>
      </c>
      <c r="U19" s="125" t="n">
        <v/>
      </c>
      <c r="V19" s="125" t="n">
        <v>3179</v>
      </c>
      <c r="W19" s="125" t="n">
        <v>3179</v>
      </c>
    </row>
    <row r="20">
      <c r="A20" s="125" t="inlineStr">
        <is>
          <t>Adish Talim</t>
        </is>
      </c>
      <c r="B20" s="125" t="inlineStr">
        <is>
          <t>JB-10170</t>
        </is>
      </c>
      <c r="C20" s="125" t="inlineStr">
        <is>
          <t>SANTOSH NAMDEV WAGHMARE</t>
        </is>
      </c>
      <c r="D20" s="125" t="n">
        <v>41800</v>
      </c>
      <c r="E20" s="125" t="n">
        <v>31</v>
      </c>
      <c r="F20" s="125" t="n">
        <v>31</v>
      </c>
      <c r="G20" s="125" t="n">
        <v>4</v>
      </c>
      <c r="H20" s="125" t="n">
        <v>4</v>
      </c>
      <c r="I20" s="125" t="n">
        <v>1</v>
      </c>
      <c r="J20" s="125" t="n">
        <v>22</v>
      </c>
      <c r="K20" s="125" t="n">
        <v>31</v>
      </c>
      <c r="L20" s="125" t="n">
        <v>0</v>
      </c>
      <c r="M20" s="125" t="n">
        <v>0</v>
      </c>
      <c r="N20" s="125" t="n">
        <v>31</v>
      </c>
      <c r="O20" s="125" t="n">
        <v>41800</v>
      </c>
      <c r="P20" s="125" t="n">
        <v>750</v>
      </c>
      <c r="Q20" s="125" t="n">
        <v>0</v>
      </c>
      <c r="R20" s="125" t="n">
        <v>0</v>
      </c>
      <c r="S20" s="125" t="n">
        <v>42550</v>
      </c>
      <c r="T20" s="125" t="n">
        <v>50209</v>
      </c>
      <c r="U20" s="125" t="n">
        <v/>
      </c>
      <c r="V20" s="125" t="n">
        <v>3830</v>
      </c>
      <c r="W20" s="125" t="n">
        <v>3830</v>
      </c>
    </row>
    <row r="21">
      <c r="A21" s="125" t="inlineStr">
        <is>
          <t>Adish Talim</t>
        </is>
      </c>
      <c r="B21" s="125" t="inlineStr">
        <is>
          <t>JB-10176</t>
        </is>
      </c>
      <c r="C21" s="125" t="inlineStr">
        <is>
          <t>SHIVANI SURESH SHARMA</t>
        </is>
      </c>
      <c r="D21" s="125" t="n">
        <v>38762</v>
      </c>
      <c r="E21" s="125" t="n">
        <v>31</v>
      </c>
      <c r="F21" s="125" t="n">
        <v>31</v>
      </c>
      <c r="G21" s="125" t="n">
        <v>4</v>
      </c>
      <c r="H21" s="125" t="n">
        <v>4</v>
      </c>
      <c r="I21" s="125" t="n">
        <v>1</v>
      </c>
      <c r="J21" s="125" t="n">
        <v>22</v>
      </c>
      <c r="K21" s="125" t="n">
        <v>31</v>
      </c>
      <c r="L21" s="125" t="n">
        <v>0</v>
      </c>
      <c r="M21" s="125" t="n">
        <v>0</v>
      </c>
      <c r="N21" s="125" t="n">
        <v>31</v>
      </c>
      <c r="O21" s="125" t="n">
        <v>38762</v>
      </c>
      <c r="P21" s="125" t="n">
        <v>750</v>
      </c>
      <c r="Q21" s="125" t="n">
        <v>0</v>
      </c>
      <c r="R21" s="125" t="n">
        <v>0</v>
      </c>
      <c r="S21" s="125" t="n">
        <v>39512</v>
      </c>
      <c r="T21" s="125" t="n">
        <v>46624</v>
      </c>
      <c r="U21" s="125" t="n">
        <v/>
      </c>
      <c r="V21" s="125" t="n">
        <v>3556</v>
      </c>
      <c r="W21" s="125" t="n">
        <v>3556</v>
      </c>
    </row>
    <row r="22">
      <c r="A22" s="125" t="inlineStr">
        <is>
          <t>Adish Talim</t>
        </is>
      </c>
      <c r="B22" s="125" t="inlineStr">
        <is>
          <t>JB-10230</t>
        </is>
      </c>
      <c r="C22" s="125" t="inlineStr">
        <is>
          <t>SHUBHAM SANJAY KUWALEKAR</t>
        </is>
      </c>
      <c r="D22" s="125" t="n">
        <v>32570</v>
      </c>
      <c r="E22" s="125" t="n">
        <v>31</v>
      </c>
      <c r="F22" s="125" t="n">
        <v>31</v>
      </c>
      <c r="G22" s="125" t="n">
        <v>4</v>
      </c>
      <c r="H22" s="125" t="n">
        <v>4</v>
      </c>
      <c r="I22" s="125" t="n">
        <v>1</v>
      </c>
      <c r="J22" s="125" t="n">
        <v>22</v>
      </c>
      <c r="K22" s="125" t="n">
        <v>31</v>
      </c>
      <c r="L22" s="125" t="n">
        <v>0</v>
      </c>
      <c r="M22" s="125" t="n">
        <v>0</v>
      </c>
      <c r="N22" s="125" t="n">
        <v>31</v>
      </c>
      <c r="O22" s="125" t="n">
        <v>32570</v>
      </c>
      <c r="P22" s="125" t="n">
        <v>750</v>
      </c>
      <c r="Q22" s="125" t="n">
        <v>0</v>
      </c>
      <c r="R22" s="125" t="n">
        <v>0</v>
      </c>
      <c r="S22" s="125" t="n">
        <v>33320</v>
      </c>
      <c r="T22" s="125" t="n">
        <v>39318</v>
      </c>
      <c r="U22" s="125" t="n">
        <v/>
      </c>
      <c r="V22" s="125" t="n">
        <v>2999</v>
      </c>
      <c r="W22" s="125" t="n">
        <v>2999</v>
      </c>
    </row>
    <row r="23">
      <c r="A23" s="125" t="inlineStr">
        <is>
          <t>Adish Talim</t>
        </is>
      </c>
      <c r="B23" s="125" t="inlineStr">
        <is>
          <t>JB-10119</t>
        </is>
      </c>
      <c r="C23" s="125" t="inlineStr">
        <is>
          <t>SHWETA GAJANAN GOSAVI</t>
        </is>
      </c>
      <c r="D23" s="125" t="n">
        <v>41667</v>
      </c>
      <c r="E23" s="125" t="n">
        <v>31</v>
      </c>
      <c r="F23" s="125" t="n">
        <v>31</v>
      </c>
      <c r="G23" s="125" t="n">
        <v>4</v>
      </c>
      <c r="H23" s="125" t="n">
        <v>4</v>
      </c>
      <c r="I23" s="125" t="n">
        <v>1</v>
      </c>
      <c r="J23" s="125" t="n">
        <v>22</v>
      </c>
      <c r="K23" s="125" t="n">
        <v>31</v>
      </c>
      <c r="L23" s="125" t="n">
        <v>0</v>
      </c>
      <c r="M23" s="125" t="n">
        <v>0</v>
      </c>
      <c r="N23" s="125" t="n">
        <v>31</v>
      </c>
      <c r="O23" s="125" t="n">
        <v>41667</v>
      </c>
      <c r="P23" s="125" t="n">
        <v>750</v>
      </c>
      <c r="Q23" s="125" t="n">
        <v>0</v>
      </c>
      <c r="R23" s="125" t="n">
        <v>0</v>
      </c>
      <c r="S23" s="125" t="n">
        <v>42417</v>
      </c>
      <c r="T23" s="125" t="n">
        <v>50052</v>
      </c>
      <c r="U23" s="125" t="n">
        <v/>
      </c>
      <c r="V23" s="125" t="n">
        <v>3818</v>
      </c>
      <c r="W23" s="125" t="n">
        <v>3818</v>
      </c>
    </row>
    <row r="24">
      <c r="A24" s="125" t="inlineStr">
        <is>
          <t>Adish Talim</t>
        </is>
      </c>
      <c r="B24" s="125" t="inlineStr">
        <is>
          <t>JB-10019</t>
        </is>
      </c>
      <c r="C24" s="125" t="inlineStr">
        <is>
          <t>SNEHA PRAVIN SHINDE</t>
        </is>
      </c>
      <c r="D24" s="125" t="n">
        <v>31447</v>
      </c>
      <c r="E24" s="125" t="n">
        <v>31</v>
      </c>
      <c r="F24" s="125" t="n">
        <v>31</v>
      </c>
      <c r="G24" s="125" t="n">
        <v>4</v>
      </c>
      <c r="H24" s="125" t="n">
        <v>4</v>
      </c>
      <c r="I24" s="125" t="n">
        <v>1</v>
      </c>
      <c r="J24" s="125" t="n">
        <v>22</v>
      </c>
      <c r="K24" s="125" t="n">
        <v>31</v>
      </c>
      <c r="L24" s="125" t="n">
        <v>0</v>
      </c>
      <c r="M24" s="125" t="n">
        <v>0</v>
      </c>
      <c r="N24" s="125" t="n">
        <v>31</v>
      </c>
      <c r="O24" s="125" t="n">
        <v>31447</v>
      </c>
      <c r="P24" s="125" t="n">
        <v>750</v>
      </c>
      <c r="Q24" s="125" t="n">
        <v>0</v>
      </c>
      <c r="R24" s="125" t="n">
        <v>0</v>
      </c>
      <c r="S24" s="125" t="n">
        <v>32197</v>
      </c>
      <c r="T24" s="125" t="n">
        <v>37992</v>
      </c>
      <c r="U24" s="125" t="n">
        <v/>
      </c>
      <c r="V24" s="125" t="n">
        <v>2898</v>
      </c>
      <c r="W24" s="125" t="n">
        <v>2898</v>
      </c>
    </row>
    <row r="25">
      <c r="A25" s="125" t="inlineStr">
        <is>
          <t>Adish Talim</t>
        </is>
      </c>
      <c r="B25" s="125" t="inlineStr">
        <is>
          <t>JB-10076</t>
        </is>
      </c>
      <c r="C25" s="125" t="inlineStr">
        <is>
          <t>SNEHA TIWARI</t>
        </is>
      </c>
      <c r="D25" s="125" t="n">
        <v>35971</v>
      </c>
      <c r="E25" s="125" t="n">
        <v>31</v>
      </c>
      <c r="F25" s="125" t="n">
        <v>31</v>
      </c>
      <c r="G25" s="125" t="n">
        <v>4</v>
      </c>
      <c r="H25" s="125" t="n">
        <v>4</v>
      </c>
      <c r="I25" s="125" t="n">
        <v>1</v>
      </c>
      <c r="J25" s="125" t="n">
        <v>22</v>
      </c>
      <c r="K25" s="125" t="n">
        <v>31</v>
      </c>
      <c r="L25" s="125" t="n">
        <v>0</v>
      </c>
      <c r="M25" s="125" t="n">
        <v>0</v>
      </c>
      <c r="N25" s="125" t="n">
        <v>31</v>
      </c>
      <c r="O25" s="125" t="n">
        <v>35971</v>
      </c>
      <c r="P25" s="125" t="n">
        <v>750</v>
      </c>
      <c r="Q25" s="125" t="n">
        <v>0</v>
      </c>
      <c r="R25" s="125" t="n">
        <v>0</v>
      </c>
      <c r="S25" s="125" t="n">
        <v>36721</v>
      </c>
      <c r="T25" s="125" t="n">
        <v>43331</v>
      </c>
      <c r="U25" s="125" t="n">
        <v/>
      </c>
      <c r="V25" s="125" t="n">
        <v>3305</v>
      </c>
      <c r="W25" s="125" t="n">
        <v>3305</v>
      </c>
    </row>
    <row r="26">
      <c r="A26" s="125" t="inlineStr">
        <is>
          <t>Adish Talim</t>
        </is>
      </c>
      <c r="B26" s="125" t="inlineStr">
        <is>
          <t>JB-10141</t>
        </is>
      </c>
      <c r="C26" s="125" t="inlineStr">
        <is>
          <t>SURYAKANTA SAHOO</t>
        </is>
      </c>
      <c r="D26" s="125" t="n">
        <v>53272</v>
      </c>
      <c r="E26" s="125" t="n">
        <v>31</v>
      </c>
      <c r="F26" s="125" t="n">
        <v>31</v>
      </c>
      <c r="G26" s="125" t="n">
        <v>4</v>
      </c>
      <c r="H26" s="125" t="n">
        <v>4</v>
      </c>
      <c r="I26" s="125" t="n">
        <v>1</v>
      </c>
      <c r="J26" s="125" t="n">
        <v>22</v>
      </c>
      <c r="K26" s="125" t="n">
        <v>31</v>
      </c>
      <c r="L26" s="125" t="n">
        <v>0</v>
      </c>
      <c r="M26" s="125" t="n">
        <v>0</v>
      </c>
      <c r="N26" s="125" t="n">
        <v>31</v>
      </c>
      <c r="O26" s="125" t="n">
        <v>53272</v>
      </c>
      <c r="P26" s="125" t="n">
        <v>750</v>
      </c>
      <c r="Q26" s="125" t="n">
        <v>0</v>
      </c>
      <c r="R26" s="125" t="n">
        <v>0</v>
      </c>
      <c r="S26" s="125" t="n">
        <v>54022</v>
      </c>
      <c r="T26" s="125" t="n">
        <v>63746</v>
      </c>
      <c r="U26" s="125" t="n">
        <v/>
      </c>
      <c r="V26" s="125" t="n">
        <v>4862</v>
      </c>
      <c r="W26" s="125" t="n">
        <v>4862</v>
      </c>
    </row>
    <row r="27">
      <c r="A27" s="125" t="inlineStr">
        <is>
          <t>Adish Talim</t>
        </is>
      </c>
      <c r="B27" s="125" t="inlineStr">
        <is>
          <t>JB-10088</t>
        </is>
      </c>
      <c r="C27" s="125" t="inlineStr">
        <is>
          <t>SUSMITA TUSHAR PATOLE</t>
        </is>
      </c>
      <c r="D27" s="125" t="n">
        <v>37598</v>
      </c>
      <c r="E27" s="125" t="n">
        <v>31</v>
      </c>
      <c r="F27" s="125" t="n">
        <v>31</v>
      </c>
      <c r="G27" s="125" t="n">
        <v>4</v>
      </c>
      <c r="H27" s="125" t="n">
        <v>4</v>
      </c>
      <c r="I27" s="125" t="n">
        <v>1</v>
      </c>
      <c r="J27" s="125" t="n">
        <v>22</v>
      </c>
      <c r="K27" s="125" t="n">
        <v>31</v>
      </c>
      <c r="L27" s="125" t="n">
        <v>0</v>
      </c>
      <c r="M27" s="125" t="n">
        <v>0</v>
      </c>
      <c r="N27" s="125" t="n">
        <v>31</v>
      </c>
      <c r="O27" s="125" t="n">
        <v>37598</v>
      </c>
      <c r="P27" s="125" t="n">
        <v>750</v>
      </c>
      <c r="Q27" s="125" t="n">
        <v>0</v>
      </c>
      <c r="R27" s="125" t="n">
        <v>0</v>
      </c>
      <c r="S27" s="125" t="n">
        <v>38348</v>
      </c>
      <c r="T27" s="125" t="n">
        <v>45251</v>
      </c>
      <c r="U27" s="125" t="n">
        <v/>
      </c>
      <c r="V27" s="125" t="n">
        <v>3451</v>
      </c>
      <c r="W27" s="125" t="n">
        <v>3451</v>
      </c>
    </row>
    <row r="28">
      <c r="A28" s="125" t="inlineStr">
        <is>
          <t>Adish Talim</t>
        </is>
      </c>
      <c r="B28" s="125" t="inlineStr">
        <is>
          <t>JB-10182</t>
        </is>
      </c>
      <c r="C28" s="125" t="inlineStr">
        <is>
          <t>URVIJA VINU PATIL</t>
        </is>
      </c>
      <c r="D28" s="125" t="n">
        <v>38800</v>
      </c>
      <c r="E28" s="125" t="n">
        <v>31</v>
      </c>
      <c r="F28" s="125" t="n">
        <v>31</v>
      </c>
      <c r="G28" s="125" t="n">
        <v>4</v>
      </c>
      <c r="H28" s="125" t="n">
        <v>4</v>
      </c>
      <c r="I28" s="125" t="n">
        <v>1</v>
      </c>
      <c r="J28" s="125" t="n">
        <v>22</v>
      </c>
      <c r="K28" s="125" t="n">
        <v>31</v>
      </c>
      <c r="L28" s="125" t="n">
        <v>0</v>
      </c>
      <c r="M28" s="125" t="n">
        <v>0</v>
      </c>
      <c r="N28" s="125" t="n">
        <v>31</v>
      </c>
      <c r="O28" s="125" t="n">
        <v>38800</v>
      </c>
      <c r="P28" s="125" t="n">
        <v>750</v>
      </c>
      <c r="Q28" s="125" t="n">
        <v>0</v>
      </c>
      <c r="R28" s="125" t="n">
        <v>0</v>
      </c>
      <c r="S28" s="125" t="n">
        <v>39550</v>
      </c>
      <c r="T28" s="125" t="n">
        <v>46669</v>
      </c>
      <c r="U28" s="125" t="n">
        <v/>
      </c>
      <c r="V28" s="125" t="n">
        <v>3560</v>
      </c>
      <c r="W28" s="125" t="n">
        <v>3560</v>
      </c>
    </row>
    <row r="29">
      <c r="A29" s="125" t="inlineStr">
        <is>
          <t>Adish Talim</t>
        </is>
      </c>
      <c r="B29" s="125" t="inlineStr">
        <is>
          <t>JB-10283</t>
        </is>
      </c>
      <c r="C29" s="125" t="inlineStr">
        <is>
          <t>PAWAN PARAMESHWAR MALI</t>
        </is>
      </c>
      <c r="D29" s="125" t="n">
        <v>38106</v>
      </c>
      <c r="E29" s="125" t="n">
        <v>31</v>
      </c>
      <c r="F29" s="125" t="n">
        <v>5</v>
      </c>
      <c r="G29" s="125" t="n">
        <v>0</v>
      </c>
      <c r="H29" s="125" t="n">
        <v>0</v>
      </c>
      <c r="I29" s="125" t="n">
        <v>0</v>
      </c>
      <c r="J29" s="125" t="n">
        <v>5</v>
      </c>
      <c r="K29" s="125" t="n">
        <v>5</v>
      </c>
      <c r="L29" s="125" t="n">
        <v>0</v>
      </c>
      <c r="M29" s="125" t="n">
        <v>0</v>
      </c>
      <c r="N29" s="125" t="n">
        <v>5</v>
      </c>
      <c r="O29" s="125" t="n">
        <v>6146</v>
      </c>
      <c r="P29" s="125" t="n">
        <v>750</v>
      </c>
      <c r="Q29" s="125" t="n">
        <v>0</v>
      </c>
      <c r="R29" s="125" t="n">
        <v>0</v>
      </c>
      <c r="S29" s="125" t="n">
        <v>6896</v>
      </c>
      <c r="T29" s="125" t="n">
        <v>8137</v>
      </c>
      <c r="U29" s="125" t="inlineStr">
        <is>
          <t>New Joiner</t>
        </is>
      </c>
      <c r="V29" s="125" t="n">
        <v>621</v>
      </c>
      <c r="W29" s="125" t="n">
        <v>621</v>
      </c>
    </row>
    <row r="30">
      <c r="A30" s="126" t="inlineStr">
        <is>
          <t>TOTAL</t>
        </is>
      </c>
      <c r="B30" s="126" t="n"/>
      <c r="C30" s="126" t="n"/>
      <c r="D30" s="126">
        <f>ROUND(SUM(D2:D29), 0)</f>
        <v/>
      </c>
      <c r="E30" s="126">
        <f>ROUND(SUM(E2:E29), 0)</f>
        <v/>
      </c>
      <c r="F30" s="126">
        <f>ROUND(SUM(F2:F29), 0)</f>
        <v/>
      </c>
      <c r="G30" s="126">
        <f>ROUND(SUM(G2:G29), 0)</f>
        <v/>
      </c>
      <c r="H30" s="126">
        <f>ROUND(SUM(H2:H29), 0)</f>
        <v/>
      </c>
      <c r="I30" s="126">
        <f>ROUND(SUM(I2:I29), 0)</f>
        <v/>
      </c>
      <c r="J30" s="126">
        <f>ROUND(SUM(J2:J29), 0)</f>
        <v/>
      </c>
      <c r="K30" s="126">
        <f>ROUND(SUM(K2:K29), 0)</f>
        <v/>
      </c>
      <c r="L30" s="126">
        <f>ROUND(SUM(L2:L29), 0)</f>
        <v/>
      </c>
      <c r="M30" s="126">
        <f>ROUND(SUM(M2:M29), 0)</f>
        <v/>
      </c>
      <c r="N30" s="126">
        <f>ROUND(SUM(N2:N29), 0)</f>
        <v/>
      </c>
      <c r="O30" s="126">
        <f>ROUND(SUM(O2:O29), 0)</f>
        <v/>
      </c>
      <c r="P30" s="126">
        <f>ROUND(SUM(P2:P29), 0)</f>
        <v/>
      </c>
      <c r="Q30" s="126">
        <f>ROUND(SUM(Q2:Q29), 0)</f>
        <v/>
      </c>
      <c r="R30" s="126">
        <f>ROUND(SUM(R2:R29), 0)</f>
        <v/>
      </c>
      <c r="S30" s="126">
        <f>ROUND(SUM(S2:S29), 0)</f>
        <v/>
      </c>
      <c r="T30" s="126">
        <f>ROUND(SUM(S30,V30,W30), 0)</f>
        <v/>
      </c>
      <c r="U30" s="126" t="n"/>
      <c r="V30" s="126">
        <f>CEILING(SUM(V2:V29), 1)</f>
        <v/>
      </c>
      <c r="W30" s="126">
        <f>CEILING(SUM(W2:W29),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2025-10-28T11:45:11Z</dcterms:created>
  <dcterms:modified xsi:type="dcterms:W3CDTF">2026-02-28T12:36:45Z</dcterms:modified>
  <cp:lastModifiedBy>Kanishk Maheshwari</cp:lastModifiedBy>
  <cp:lastPrinted>2026-01-27T05:45:19Z</cp:lastPrinted>
</cp:coreProperties>
</file>